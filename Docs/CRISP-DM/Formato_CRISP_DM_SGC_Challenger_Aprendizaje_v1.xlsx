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lemcosas.sharepoint.com/sites/TalentoHumanoGrupoLemco/Documentos compartidos/5. People analytics/04_Aprendizaje_y_Desarrollo/Docs/CRISP-DM/"/>
    </mc:Choice>
  </mc:AlternateContent>
  <xr:revisionPtr revIDLastSave="136" documentId="13_ncr:1_{33C77232-DDFF-407B-80A9-FD455E035617}" xr6:coauthVersionLast="47" xr6:coauthVersionMax="47" xr10:uidLastSave="{5FD4AFA8-8A92-46C3-B0A3-FE85BEBDB7AB}"/>
  <bookViews>
    <workbookView xWindow="-110" yWindow="-110" windowWidth="19420" windowHeight="10420" activeTab="1" xr2:uid="{00000000-000D-0000-FFFF-FFFF00000000}"/>
  </bookViews>
  <sheets>
    <sheet name="INSTRUCTIVO" sheetId="1" r:id="rId1"/>
    <sheet name="FORMATO CRISP-DM" sheetId="2" r:id="rId2"/>
    <sheet name="Hoja1" sheetId="4" r:id="rId3"/>
    <sheet name="LISTAS_DESPLEGABLES" sheetId="3"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8" i="2" l="1"/>
  <c r="L47" i="2"/>
  <c r="L46" i="2"/>
  <c r="L45" i="2"/>
</calcChain>
</file>

<file path=xl/sharedStrings.xml><?xml version="1.0" encoding="utf-8"?>
<sst xmlns="http://schemas.openxmlformats.org/spreadsheetml/2006/main" count="798" uniqueCount="231">
  <si>
    <t>DESARROLLO Y CALIDAD DE VIDA</t>
  </si>
  <si>
    <t>Código: GHD-FR-XX</t>
  </si>
  <si>
    <t>FORMATO</t>
  </si>
  <si>
    <t>Versión: 01</t>
  </si>
  <si>
    <t>GESTIÓN DE PROYECTOS ANALÍTICOS - CRISP-DM</t>
  </si>
  <si>
    <t>Fecha: 2026-05-26</t>
  </si>
  <si>
    <t>INSTRUCTIVO DE DILIGENCIAMIENTO</t>
  </si>
  <si>
    <t>Objetivo del formato</t>
  </si>
  <si>
    <t>Documentar proyectos analíticos de forma ordenada, trazable y alineada al Sistema de Gestión de la Calidad, desde la necesidad del negocio hasta el despliegue del entregable.</t>
  </si>
  <si>
    <t>Alcance</t>
  </si>
  <si>
    <t>Aplica para proyectos de dashboard, reporting, automatización, analítica descriptiva, diagnóstica o predictiva de cualquier negocio del Grupo LEMCO. Inicialmente se presenta con estilo y lineamientos de Challenger.</t>
  </si>
  <si>
    <t>ESTRUCTURA DEL ARCHIVO</t>
  </si>
  <si>
    <t>Hoja</t>
  </si>
  <si>
    <t>Uso</t>
  </si>
  <si>
    <t>INSTRUCTIVO</t>
  </si>
  <si>
    <t>FORMATO CRISP-DM</t>
  </si>
  <si>
    <t>LISTAS DESPLEGABLES</t>
  </si>
  <si>
    <t>PASOS DE DILIGENCIAMIENTO</t>
  </si>
  <si>
    <t>GUÍA POR FASE CRISP-DM</t>
  </si>
  <si>
    <t>Fase</t>
  </si>
  <si>
    <t>Qué se documenta</t>
  </si>
  <si>
    <t>1. Comprensión del negocio</t>
  </si>
  <si>
    <t>Brief del proyecto, alcance definido, preguntas analíticas y criterios de éxito validados.</t>
  </si>
  <si>
    <t>2. Comprensión de los datos</t>
  </si>
  <si>
    <t>Inventario de fuentes, diagnóstico inicial de calidad y mapa de riesgos de datos.</t>
  </si>
  <si>
    <t>3. Preparación de los datos</t>
  </si>
  <si>
    <t>Reglas de cálculo, trazabilidad de campos y base analítica preparada.</t>
  </si>
  <si>
    <t>4. Modelado / análisis</t>
  </si>
  <si>
    <t>Mockup, modelo analítico, medidas, visualizaciones o algoritmo documentado.</t>
  </si>
  <si>
    <t>5. Evaluación</t>
  </si>
  <si>
    <t>Acta de validación, recomendaciones y aprobación para despliegue.</t>
  </si>
  <si>
    <t>6. Despliegue</t>
  </si>
  <si>
    <t>Dashboard / informe publicado, instructivo operativo y plan de mejora continua.</t>
  </si>
  <si>
    <t>CONVENCIONES Y RECOMENDACIONES</t>
  </si>
  <si>
    <t>Estados sugeridos</t>
  </si>
  <si>
    <t>Pendiente, En curso, En validación, Cerrado, Suspendido.</t>
  </si>
  <si>
    <t>Prioridad</t>
  </si>
  <si>
    <t>Alta, Media o Baja según impacto, urgencia y dependencia del negocio.</t>
  </si>
  <si>
    <t>Confidencialidad</t>
  </si>
  <si>
    <t>Usar la clasificación del dato: Pública interna, Uso interno, Confidencial o Restringida.</t>
  </si>
  <si>
    <t>Buenas prácticas</t>
  </si>
  <si>
    <t>Registrar decisiones, fuentes oficiales, responsables y fecha de actualización. Evitar fórmulas críticas no documentadas.</t>
  </si>
  <si>
    <t>Protección de datos</t>
  </si>
  <si>
    <t>Si el proyecto usa información de colaboradores, documentar restricciones de acceso, tratamiento, anonimización y controles de confidencialidad.</t>
  </si>
  <si>
    <t>Aprobaciones</t>
  </si>
  <si>
    <t>Registrar validación funcional y técnica antes del despliegue; el control documental y el código oficial pueden actualizarse luego por SGC.</t>
  </si>
  <si>
    <t>NOTA DE IMPLEMENTACIÓN</t>
  </si>
  <si>
    <t>Formato base propuesto para gestión de proyectos analíticos bajo metodología CRISP-DM. Diseñado para uso corporativo del Grupo LEMCO con estructura visual y lineamientos inspirados en formatos SGC de Challenger. El código documental definitivo, responsables de control y versión oficial deben ser validados por el proceso de Calidad.</t>
  </si>
  <si>
    <t>1. IDENTIFICACIÓN DEL PROYECTO</t>
  </si>
  <si>
    <t>Empresa / unidad de negocio</t>
  </si>
  <si>
    <t>Proceso / frente</t>
  </si>
  <si>
    <t>Nombre del proyecto</t>
  </si>
  <si>
    <t>Tipo de proyecto</t>
  </si>
  <si>
    <t>Sponsor / líder solicitante</t>
  </si>
  <si>
    <t>Líder analítico</t>
  </si>
  <si>
    <t>Fecha de actualización</t>
  </si>
  <si>
    <t>Estado general</t>
  </si>
  <si>
    <t>Periodicidad</t>
  </si>
  <si>
    <t>Audiencia objetivo</t>
  </si>
  <si>
    <t>2. RESUMEN EJECUTIVO Y ALINEACIÓN ESTRATÉGICA / SGC</t>
  </si>
  <si>
    <t>Problema o necesidad de negocio</t>
  </si>
  <si>
    <t>Objetivo del proyecto</t>
  </si>
  <si>
    <t>Decisiones a soportar</t>
  </si>
  <si>
    <t>Alineación con estrategia / objetivo del proceso / SGC</t>
  </si>
  <si>
    <t>Beneficio esperado</t>
  </si>
  <si>
    <t>Riesgo de no ejecutar</t>
  </si>
  <si>
    <t>3. FASE 1. COMPRENSIÓN DEL NEGOCIO</t>
  </si>
  <si>
    <t>Preguntas analíticas clave</t>
  </si>
  <si>
    <t>Alcance (población, periodo, negocio, entregable)</t>
  </si>
  <si>
    <t>Exclusiones o límites</t>
  </si>
  <si>
    <t>Hipótesis iniciales</t>
  </si>
  <si>
    <t>Stakeholders / responsables</t>
  </si>
  <si>
    <t>KPIs y criterios de éxito</t>
  </si>
  <si>
    <t>Riesgos, supuestos y restricciones</t>
  </si>
  <si>
    <t>4. FASE 2. COMPRENSIÓN DE LOS DATOS</t>
  </si>
  <si>
    <t>Fuente / sistema</t>
  </si>
  <si>
    <t>Responsable</t>
  </si>
  <si>
    <t>Cobertura</t>
  </si>
  <si>
    <t>Llave principal</t>
  </si>
  <si>
    <t>Calidad</t>
  </si>
  <si>
    <t>Privacidad</t>
  </si>
  <si>
    <t>Observaciones</t>
  </si>
  <si>
    <t>RESUMEN AUTOMÁTICO</t>
  </si>
  <si>
    <t>Fuentes registradas</t>
  </si>
  <si>
    <t>Actividades registradas</t>
  </si>
  <si>
    <t>% avance promedio</t>
  </si>
  <si>
    <t>Actividades cerradas</t>
  </si>
  <si>
    <t>5. FASE 3. PREPARACIÓN DE LOS DATOS</t>
  </si>
  <si>
    <t>Dataset / tabla</t>
  </si>
  <si>
    <t>Transformación o regla</t>
  </si>
  <si>
    <t>Campo origen</t>
  </si>
  <si>
    <t>Campo resultado</t>
  </si>
  <si>
    <t>Validación aplicada</t>
  </si>
  <si>
    <t>Estado</t>
  </si>
  <si>
    <t>6. FASE 4. MODELADO / ANÁLISIS</t>
  </si>
  <si>
    <t>Enfoque analítico / tipo de solución</t>
  </si>
  <si>
    <t>KPIs, métricas o variables a construir</t>
  </si>
  <si>
    <t>Visualizaciones, dashboard, modelo o automatización</t>
  </si>
  <si>
    <t>Supuestos, reglas de negocio y filtros</t>
  </si>
  <si>
    <t>Métricas de validación o criterios técnicos</t>
  </si>
  <si>
    <t>7. FASE 5. EVALUACIÓN</t>
  </si>
  <si>
    <t>Validación técnica</t>
  </si>
  <si>
    <t>Validación de negocio</t>
  </si>
  <si>
    <t>Hallazgos clave y decisiones derivadas</t>
  </si>
  <si>
    <t>Ajustes pendientes / observaciones</t>
  </si>
  <si>
    <t>Aprobación para despliegue</t>
  </si>
  <si>
    <t>8. FASE 6. DESPLIEGUE Y SOSTENIMIENTO</t>
  </si>
  <si>
    <t>Entregable final / ubicación</t>
  </si>
  <si>
    <t>Medio de publicación y usuarios objetivo</t>
  </si>
  <si>
    <t>Frecuencia de actualización y responsable operativo</t>
  </si>
  <si>
    <t>Plan de mantenimiento / mejora continua</t>
  </si>
  <si>
    <t>Próximos pasos / backlog</t>
  </si>
  <si>
    <t>9. CRONOGRAMA Y CONTROL DEL PROYECTO</t>
  </si>
  <si>
    <t>Actividad</t>
  </si>
  <si>
    <t>Fase CRISP-DM</t>
  </si>
  <si>
    <t>Fecha inicio</t>
  </si>
  <si>
    <t>Fecha fin</t>
  </si>
  <si>
    <t>Avance %</t>
  </si>
  <si>
    <t>Entregable / evidencia</t>
  </si>
  <si>
    <t>10. CONTROL DE CAMBIOS Y APROBACIONES</t>
  </si>
  <si>
    <t>Fecha</t>
  </si>
  <si>
    <t>Versión</t>
  </si>
  <si>
    <t>Descripción del cambio</t>
  </si>
  <si>
    <t>Aprobó</t>
  </si>
  <si>
    <t>Notas de uso:
1) Este formato es un soporte vivo del proyecto y debe actualizarse por fase.
2) El código documental puede reemplazarse cuando SGC asigne el consecutivo oficial.
3) Las listas desplegables y la hoja de catálogos ayudan a mantener estandarización entre negocios del Grupo.
4) Registrar restricciones de privacidad y confidencialidad cuando se utilicen datos de colaboradores.</t>
  </si>
  <si>
    <t>Formato propuesto para documentar proyectos analíticos bajo CRISP-DM. Diseñado para facilitar trazabilidad, control, validación y despliegue de dashboards, análisis y automatizaciones del Grupo LEMCO.</t>
  </si>
  <si>
    <t>Calidad del dato</t>
  </si>
  <si>
    <t>Estado actividad</t>
  </si>
  <si>
    <t>Estado preparación</t>
  </si>
  <si>
    <t>Pendiente</t>
  </si>
  <si>
    <t>Alta</t>
  </si>
  <si>
    <t>Dashboard</t>
  </si>
  <si>
    <t>Pública interna</t>
  </si>
  <si>
    <t>Único</t>
  </si>
  <si>
    <t>Comprensión del negocio</t>
  </si>
  <si>
    <t>En curso</t>
  </si>
  <si>
    <t>Media</t>
  </si>
  <si>
    <t>Informe analítico</t>
  </si>
  <si>
    <t>Uso interno</t>
  </si>
  <si>
    <t>Semanal</t>
  </si>
  <si>
    <t>Comprensión de los datos</t>
  </si>
  <si>
    <t>En validación</t>
  </si>
  <si>
    <t>Baja</t>
  </si>
  <si>
    <t>Modelo predictivo</t>
  </si>
  <si>
    <t>Confidencial</t>
  </si>
  <si>
    <t>Quincenal</t>
  </si>
  <si>
    <t>Preparación de los datos</t>
  </si>
  <si>
    <t>Validado</t>
  </si>
  <si>
    <t>Cerrado</t>
  </si>
  <si>
    <t>Automatización</t>
  </si>
  <si>
    <t>Restringida</t>
  </si>
  <si>
    <t>Mensual</t>
  </si>
  <si>
    <t>Modelado / análisis</t>
  </si>
  <si>
    <t>Por validar</t>
  </si>
  <si>
    <t>No aplica</t>
  </si>
  <si>
    <t>Diagnóstico / exploratorio</t>
  </si>
  <si>
    <t>Trimestral</t>
  </si>
  <si>
    <t>Evaluación</t>
  </si>
  <si>
    <t>Suspendido</t>
  </si>
  <si>
    <t>Semestral</t>
  </si>
  <si>
    <t>Despliegue</t>
  </si>
  <si>
    <t>Anual</t>
  </si>
  <si>
    <t>Explica cómo usar el archivo, qué contiene cada hoja y qué debes registrar en cada sección.</t>
  </si>
  <si>
    <t>Es la hoja principal. Aquí se documenta el proyecto desde la identificación inicial hasta el cronograma, cambios y aprobaciones.</t>
  </si>
  <si>
    <t>Contiene los catálogos para listas desplegables como estado, prioridad, tipo de proyecto y confidencialidad.</t>
  </si>
  <si>
    <t>Úsalos en el cronograma y seguimiento del proyecto: Pendiente, En curso, En validación, Cerrado o Suspendido.</t>
  </si>
  <si>
    <t>Marca Alta, Media o Baja según impacto para el negocio, urgencia y dependencias del proyecto.</t>
  </si>
  <si>
    <t>Clasifica la información según su sensibilidad: Pública interna, Uso interno, Confidencial o Restringida.</t>
  </si>
  <si>
    <t>Mantén el formato actualizado por fase, registra decisiones clave y usa siempre la fuente oficial del dato.</t>
  </si>
  <si>
    <t>Si el proyecto usa datos de colaboradores, documenta restricciones de acceso, anonimización y controles de confidencialidad.</t>
  </si>
  <si>
    <t>Antes del despliegue registra quién validó el resultado desde negocio y quién aprobó su publicación o uso.</t>
  </si>
  <si>
    <t>Sección 3 del formato. Ej.: kickoff, alcance, preguntas analíticas, KPIs y criterios de éxito.</t>
  </si>
  <si>
    <t>Sección 4 del formato. Ej.: inventario de fuentes, responsables y observaciones de calidad.</t>
  </si>
  <si>
    <t>Sección 5 del formato. Ej.: reglas de transformación, validaciones y estado de avance.</t>
  </si>
  <si>
    <t>Sección 6 del formato. Ej.: diseño funcional, KPIs, visuales, supuestos y criterios técnicos.</t>
  </si>
  <si>
    <t>Sección 7 del formato. Ej.: validaciones, hallazgos, observaciones y aprobación para despliegue.</t>
  </si>
  <si>
    <t>Sección 8 del formato. Ej.: ruta de publicación, responsables, frecuencia y backlog.</t>
  </si>
  <si>
    <t>Dónde se diligencia / entregables sugeridos</t>
  </si>
  <si>
    <t>Describe qué necesita el negocio, qué preguntas debe responder el proyecto, cuál es el alcance y cómo sabrás que fue exitoso.</t>
  </si>
  <si>
    <t>Relaciona las fuentes que usarás, el responsable del dato, la periodicidad, la calidad y las restricciones de acceso o privacidad.</t>
  </si>
  <si>
    <t>Documenta cómo dejarás listos los datos para analizarlos: reglas de limpieza, homologaciones, exclusiones y validaciones.</t>
  </si>
  <si>
    <t>Explica qué construirás: indicadores, dashboard, automatización, visualizaciones o modelo, junto con las reglas de negocio.</t>
  </si>
  <si>
    <t>Registra cómo validarás el resultado con el negocio y con el equipo técnico, qué hallazgos surgieron y qué ajustes quedan.</t>
  </si>
  <si>
    <t>Deja claro cuál es el entregable final, dónde quedará publicado, quién lo usará, quién lo actualizará y qué sigue después.</t>
  </si>
  <si>
    <t>Documentar y gestionar proyectos analíticos bajo la metodología CRISP-DM, de forma ordenada, trazable y alineada con el Sistema de Gestión de Calidad.</t>
  </si>
  <si>
    <t>Aplica para proyectos de dashboard, reportería, automatización, análisis y modelos de datos de las empresas del Grupo. Se presenta inicialmente con estilo y lineamientos de Challenger.</t>
  </si>
  <si>
    <t>GUÍA DE DILIGENCIAMIENTO POR SECCIÓN</t>
  </si>
  <si>
    <t>1. Identificación del proyecto</t>
  </si>
  <si>
    <t>2. Resumen ejecutivo</t>
  </si>
  <si>
    <t>3. Fase 1. Comprensión del negocio</t>
  </si>
  <si>
    <t>4. Fase 2. Comprensión de los datos</t>
  </si>
  <si>
    <t>5. Fase 3. Preparación de los datos</t>
  </si>
  <si>
    <t>6. Fase 4. Modelado / análisis</t>
  </si>
  <si>
    <t>7. Fases 5 y 6 + cronograma</t>
  </si>
  <si>
    <t>8. Control de cambios</t>
  </si>
  <si>
    <t>Sección</t>
  </si>
  <si>
    <t>Pasos de diligenciamiento</t>
  </si>
  <si>
    <t>Describa la necesidad del negocio, el objetivo del proyecto, las decisiones a soportar, el beneficio esperado y el riesgo de no ejecutarlo.</t>
  </si>
  <si>
    <t>Defina preguntas analíticas, alcance, exclusiones, hipótesis, stakeholders, KPIs de éxito y riesgos iniciales.</t>
  </si>
  <si>
    <t>Relacione las fuentes, responsables, periodicidad, cobertura, llave principal, calidad del dato, privacidad y observaciones.</t>
  </si>
  <si>
    <t>Documente las reglas de limpieza, unificación, transformaciones, validaciones y estado de preparación.</t>
  </si>
  <si>
    <t>Registre la solución a construir: KPIs, visualizaciones, filtros, supuestos y criterios técnicos.</t>
  </si>
  <si>
    <t>Documente validaciones, hallazgos, aprobación, despliegue, sostenimiento, actividades, fechas, avance y evidencias.</t>
  </si>
  <si>
    <t>Registre ajustes relevantes de alcance, fechas, responsables, entregables o versión del documento.</t>
  </si>
  <si>
    <t>Registre empresa, proceso, nombre del proyecto, sponsor, responsable analítico, prioridad, periodicidad y audiencia objetivo.</t>
  </si>
  <si>
    <t>Formato propuesto para documentar proyectos analíticos bajo metodología CRISP-DM. Puede utilizarse como soporte vivo del proyecto y debe actualizarse por fase. El código documental definitivo y la aprobación formal podrán ser ajustados posteriormente por SGC.</t>
  </si>
  <si>
    <t>Grupo LEMCO / Challenger</t>
  </si>
  <si>
    <t>Diseño Dashboard Corporativo de Gestión Humana – Fase I: Desarrollo Organizacional | Bloque Aprendizaje</t>
  </si>
  <si>
    <t>Gerencia Corporativa de Desarrollo Organizacional</t>
  </si>
  <si>
    <t>Desarrollo Organizacional - Aprendizaje</t>
  </si>
  <si>
    <t>Especialista en Analítica de Talento Humano</t>
  </si>
  <si>
    <t>Gerencia Corporativa DO, responsable de Aprendizaje</t>
  </si>
  <si>
    <t>No existe una vista corporativa integrada y estandarizada del frente de Aprendizaje que permita hacer seguimiento oportuno al plan, cobertura, participación, horas de formación y satisfacción, con una lectura ejecutiva comparable entre negocios y periodos.</t>
  </si>
  <si>
    <t>Diseñar y validar una propuesta inicial del bloque de Aprendizaje del Dashboard Corporativo de Gestión Humana, definiendo alcance funcional, KPIs prioritarios, fuentes de información y una primera estructura de visualización para su construcción en Power BI.</t>
  </si>
  <si>
    <t>1) Priorizar indicadores de Aprendizaje con lectura gerencial.  2) Identificar brechas de cobertura, participación, cumplimiento y satisfacción.  3) Definir focos de seguimiento por empresa, área, población y periodo.</t>
  </si>
  <si>
    <t>Aporta a la planeación estratégica de Desarrollo Organizacional, fortalece la gestión basada en datos, apoya la mejora continua del proceso y facilita la trazabilidad de indicadores corporativos.</t>
  </si>
  <si>
    <t>Contar con una base inicial validada para construir el dashboard, reducir reportería manual, estandarizar definiciones y generar visibilidad ejecutiva del proceso de Aprendizaje.</t>
  </si>
  <si>
    <t>Mantener una gestión fragmentada, con múltiples reportes manuales, baja comparabilidad entre cortes y menor capacidad para soportar decisiones estratégicas del frente.</t>
  </si>
  <si>
    <t>¿Qué debe responder el dashboard de Aprendizaje para la Gerencia?  ¿Qué indicadores son imprescindibles en el MVP?  ¿Qué segmentaciones necesita el proceso (empresa, área, cargo, población, periodo, tipo de formación)?  ¿Qué datos existen hoy y cuáles deben fortalecerse?</t>
  </si>
  <si>
    <t>Fuentes: HC + PLAN DE FORMACION + UNIVERSIDAD CHALLENGER + SYC</t>
  </si>
  <si>
    <t>HORAS DE FORMACION - PF</t>
  </si>
  <si>
    <t>COBERTURA - PF</t>
  </si>
  <si>
    <t>SATISFACCION - Encuesta</t>
  </si>
  <si>
    <t>EFICACIA - PF</t>
  </si>
  <si>
    <t>TIPO DE FORMACION PF</t>
  </si>
  <si>
    <t>OUTBOARDING Y ENTRENAMIENTOS Seguimiento inducción.</t>
  </si>
  <si>
    <t>NIVEL DE CARGO. ASISTENCIA</t>
  </si>
  <si>
    <t>Propuesta inicial enfocada en el frente de Aprendizaje, como parte de la Fase I del Dashboard Corporativo de Gestión Humana – Desarrollo Organizacional.  Población: Gerencia de desarrollo organizacional y equipo de aprendizaje y desarrollo.  Periodo sugerido: 2025–2026.  Entregable esperado: propuesta funcional validada y MVP del bloque Aprendizaje.</t>
  </si>
  <si>
    <t>No incluye en esta etapa modelado predictivo, automatizaciones avanzadas, publicación definitiva ni los demás frentes de DO en profundidad.  Tampoco incorpora aún visualización a nivel individual sensible para usuarios no autorizados.</t>
  </si>
  <si>
    <t>Existen bases o matrices del proceso con información suficiente para iniciar un MVP.  La definición de KPI y la estructura del dato requerirán validación con la responsable del proceso.  La primera versión se construirá con un enfoque ejecutivo y de mejora progresiva.</t>
  </si>
  <si>
    <t>Sponsor: Gerencia Corporativa de Desarrollo Organizacional.  Responsable funcional: Coordinador de Aprendizaje y Desarrollo / Analista Profesional de Aprendizaje y Desarrollo.  Responsable analítico: Especialista en Analítica de Talento Humano.  Apoyos esperados: dueños del dato del proceso y, si aplica, TI para accesos o publicación.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</si>
</sst>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2">
    <font>
      <sz val="11"/>
      <name val="Carlito"/>
    </font>
    <font>
      <b/>
      <sz val="28"/>
      <color rgb="FF003494"/>
      <name val="Carlito"/>
    </font>
    <font>
      <b/>
      <sz val="12"/>
      <color rgb="FF000000"/>
      <name val="Carlito"/>
    </font>
    <font>
      <sz val="11"/>
      <color rgb="FF000000"/>
      <name val="Carlito"/>
    </font>
    <font>
      <b/>
      <sz val="11"/>
      <color rgb="FFFFFFFF"/>
      <name val="Carlito"/>
    </font>
    <font>
      <b/>
      <sz val="11"/>
      <name val="Carlito"/>
    </font>
    <font>
      <i/>
      <sz val="11"/>
      <color rgb="FF000032"/>
      <name val="Carlito"/>
    </font>
    <font>
      <b/>
      <sz val="10"/>
      <color rgb="FF000000"/>
      <name val="Carlito"/>
    </font>
    <font>
      <sz val="10"/>
      <color rgb="FF000000"/>
      <name val="Carlito"/>
    </font>
    <font>
      <b/>
      <sz val="11"/>
      <color theme="1"/>
      <name val="Carlito"/>
    </font>
    <font>
      <b/>
      <sz val="11"/>
      <color rgb="FF000000"/>
      <name val="Carlito"/>
    </font>
    <font>
      <sz val="10"/>
      <color rgb="FFFF0000"/>
      <name val="Carlito"/>
    </font>
  </fonts>
  <fills count="7">
    <fill>
      <patternFill patternType="none"/>
    </fill>
    <fill>
      <patternFill patternType="gray125"/>
    </fill>
    <fill>
      <patternFill patternType="solid">
        <fgColor rgb="FFFFFFFF"/>
      </patternFill>
    </fill>
    <fill>
      <patternFill patternType="solid">
        <fgColor rgb="FFE7E6E6"/>
      </patternFill>
    </fill>
    <fill>
      <patternFill patternType="solid">
        <fgColor rgb="FF003494"/>
      </patternFill>
    </fill>
    <fill>
      <patternFill patternType="solid">
        <fgColor rgb="FFE3F5FF"/>
      </patternFill>
    </fill>
    <fill>
      <patternFill patternType="solid">
        <fgColor rgb="FFE3F5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3">
    <xf numFmtId="0" fontId="0" fillId="0" borderId="0" xfId="0"/>
    <xf numFmtId="0" fontId="0" fillId="2" borderId="0" xfId="0" applyFill="1" applyAlignment="1">
      <alignment vertical="center" wrapText="1"/>
    </xf>
    <xf numFmtId="0" fontId="4" fillId="4" borderId="0" xfId="0" applyFont="1" applyFill="1" applyAlignment="1">
      <alignment horizontal="center" vertical="center"/>
    </xf>
    <xf numFmtId="0" fontId="0" fillId="2" borderId="0" xfId="0" applyFill="1" applyAlignment="1">
      <alignment horizontal="center" vertical="center"/>
    </xf>
    <xf numFmtId="9" fontId="0" fillId="2" borderId="0" xfId="0" applyNumberFormat="1" applyFill="1" applyAlignment="1">
      <alignment horizontal="center" vertical="center"/>
    </xf>
    <xf numFmtId="164" fontId="0" fillId="2" borderId="0" xfId="0" applyNumberFormat="1" applyFill="1" applyAlignment="1">
      <alignment vertical="center" wrapText="1"/>
    </xf>
    <xf numFmtId="9" fontId="0" fillId="2" borderId="0" xfId="0" applyNumberFormat="1" applyFill="1" applyAlignment="1">
      <alignment vertical="center" wrapText="1"/>
    </xf>
    <xf numFmtId="0" fontId="0" fillId="0" borderId="0" xfId="0" applyAlignment="1">
      <alignment vertical="center"/>
    </xf>
    <xf numFmtId="0" fontId="9" fillId="3" borderId="0" xfId="0" applyFont="1" applyFill="1" applyAlignment="1">
      <alignment horizontal="center" vertical="center" wrapText="1"/>
    </xf>
    <xf numFmtId="0" fontId="5" fillId="5"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10" fillId="3" borderId="1" xfId="0" applyFont="1" applyFill="1" applyBorder="1" applyAlignment="1">
      <alignment horizontal="left" vertical="center"/>
    </xf>
    <xf numFmtId="0" fontId="10" fillId="3" borderId="1" xfId="0" applyFont="1" applyFill="1" applyBorder="1" applyAlignment="1">
      <alignment horizontal="left" vertical="center" wrapText="1"/>
    </xf>
    <xf numFmtId="0" fontId="5" fillId="3" borderId="1" xfId="0" applyFont="1" applyFill="1" applyBorder="1" applyAlignment="1">
      <alignment horizontal="left" vertical="center"/>
    </xf>
    <xf numFmtId="0" fontId="5" fillId="3" borderId="1" xfId="0" applyFont="1" applyFill="1" applyBorder="1" applyAlignment="1">
      <alignment horizontal="left" vertical="center" wrapText="1"/>
    </xf>
    <xf numFmtId="0" fontId="6" fillId="5" borderId="0" xfId="0" applyFont="1" applyFill="1" applyAlignment="1">
      <alignment vertical="center" wrapText="1"/>
    </xf>
    <xf numFmtId="0" fontId="4" fillId="4" borderId="1"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1" xfId="0" applyFont="1" applyFill="1" applyBorder="1" applyAlignment="1">
      <alignment horizontal="left" vertical="top" wrapText="1"/>
    </xf>
    <xf numFmtId="0" fontId="4" fillId="4" borderId="0" xfId="0" applyFont="1" applyFill="1" applyAlignment="1">
      <alignment horizontal="left" vertical="center" wrapText="1"/>
    </xf>
    <xf numFmtId="0" fontId="6" fillId="5" borderId="0" xfId="0" applyFont="1" applyFill="1" applyAlignment="1">
      <alignment vertical="top" wrapText="1"/>
    </xf>
    <xf numFmtId="0" fontId="4" fillId="4" borderId="0" xfId="0" applyFont="1" applyFill="1" applyAlignment="1">
      <alignment horizontal="center" vertical="center" wrapText="1"/>
    </xf>
    <xf numFmtId="0" fontId="4" fillId="4" borderId="0" xfId="0" applyFont="1" applyFill="1" applyAlignment="1">
      <alignment horizontal="center" vertical="center"/>
    </xf>
    <xf numFmtId="0" fontId="5" fillId="3"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0" fillId="2" borderId="2" xfId="0" applyFill="1" applyBorder="1" applyAlignment="1">
      <alignment horizontal="left" vertical="center"/>
    </xf>
    <xf numFmtId="0" fontId="0" fillId="2" borderId="3" xfId="0" applyFill="1" applyBorder="1" applyAlignment="1">
      <alignment horizontal="left" vertical="center"/>
    </xf>
    <xf numFmtId="0" fontId="0" fillId="2" borderId="4" xfId="0" applyFill="1" applyBorder="1" applyAlignment="1">
      <alignment horizontal="left" vertical="center"/>
    </xf>
    <xf numFmtId="0" fontId="0" fillId="2" borderId="1" xfId="0" applyFill="1" applyBorder="1" applyAlignment="1">
      <alignment vertical="center" wrapText="1"/>
    </xf>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0" fillId="2" borderId="2" xfId="0" applyFill="1" applyBorder="1" applyAlignment="1">
      <alignment vertical="center"/>
    </xf>
    <xf numFmtId="0" fontId="0" fillId="2" borderId="3" xfId="0" applyFill="1" applyBorder="1" applyAlignment="1">
      <alignment vertical="center"/>
    </xf>
    <xf numFmtId="0" fontId="0" fillId="2" borderId="4" xfId="0" applyFill="1" applyBorder="1" applyAlignment="1">
      <alignment vertical="center"/>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vertical="center" wrapText="1"/>
    </xf>
    <xf numFmtId="0" fontId="5" fillId="3" borderId="1" xfId="0" applyFont="1" applyFill="1" applyBorder="1" applyAlignment="1">
      <alignment horizontal="center" vertical="center"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3" borderId="0" xfId="0" applyFont="1" applyFill="1" applyAlignment="1">
      <alignment horizontal="left" vertical="center" wrapText="1"/>
    </xf>
    <xf numFmtId="0" fontId="8" fillId="2" borderId="2" xfId="0" applyFont="1" applyFill="1" applyBorder="1" applyAlignment="1">
      <alignment horizontal="left" vertical="center"/>
    </xf>
    <xf numFmtId="0" fontId="8" fillId="2" borderId="3" xfId="0" applyFont="1" applyFill="1" applyBorder="1" applyAlignment="1">
      <alignment horizontal="left" vertical="center"/>
    </xf>
    <xf numFmtId="0" fontId="8" fillId="2" borderId="4" xfId="0" applyFont="1" applyFill="1" applyBorder="1" applyAlignment="1">
      <alignment horizontal="left" vertical="center"/>
    </xf>
    <xf numFmtId="0" fontId="7" fillId="3" borderId="1"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3" xfId="0" applyFont="1" applyFill="1" applyBorder="1" applyAlignment="1">
      <alignment horizontal="left" vertical="center" wrapText="1"/>
    </xf>
    <xf numFmtId="0" fontId="8" fillId="2" borderId="4" xfId="0" applyFont="1" applyFill="1" applyBorder="1" applyAlignment="1">
      <alignment horizontal="left" vertical="center" wrapText="1"/>
    </xf>
    <xf numFmtId="0" fontId="7" fillId="3" borderId="2" xfId="0" applyFont="1" applyFill="1" applyBorder="1" applyAlignment="1">
      <alignment horizontal="left" vertical="center" wrapText="1"/>
    </xf>
    <xf numFmtId="0" fontId="7" fillId="3" borderId="3" xfId="0" applyFont="1" applyFill="1" applyBorder="1" applyAlignment="1">
      <alignment horizontal="left" vertical="center" wrapText="1"/>
    </xf>
    <xf numFmtId="0" fontId="7" fillId="3" borderId="4" xfId="0" applyFont="1" applyFill="1" applyBorder="1" applyAlignment="1">
      <alignment horizontal="left" vertical="center" wrapText="1"/>
    </xf>
    <xf numFmtId="0" fontId="0" fillId="0" borderId="0" xfId="0" applyAlignment="1">
      <alignment horizontal="left"/>
    </xf>
    <xf numFmtId="14" fontId="8" fillId="2" borderId="2" xfId="0" applyNumberFormat="1" applyFont="1" applyFill="1" applyBorder="1" applyAlignment="1">
      <alignment horizontal="left" vertical="center" wrapText="1"/>
    </xf>
    <xf numFmtId="0" fontId="11" fillId="2" borderId="2"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cellXfs>
  <cellStyles count="1">
    <cellStyle name="Normal" xfId="0" builtinId="0"/>
  </cellStyles>
  <dxfs count="7">
    <dxf>
      <fill>
        <patternFill>
          <bgColor rgb="FFF4CCCC"/>
        </patternFill>
      </fill>
    </dxf>
    <dxf>
      <fill>
        <patternFill>
          <bgColor rgb="FFFFF2CC"/>
        </patternFill>
      </fill>
    </dxf>
    <dxf>
      <fill>
        <patternFill>
          <bgColor rgb="FFD9EAD3"/>
        </patternFill>
      </fill>
    </dxf>
    <dxf>
      <font>
        <strike val="0"/>
        <outline val="0"/>
        <shadow val="0"/>
        <u val="none"/>
        <vertAlign val="baseline"/>
        <sz val="11"/>
        <color theme="1"/>
        <name val="Carlito"/>
        <scheme val="none"/>
      </font>
    </dxf>
    <dxf>
      <font>
        <strike val="0"/>
        <outline val="0"/>
        <shadow val="0"/>
        <u val="none"/>
        <vertAlign val="baseline"/>
        <sz val="11"/>
        <color theme="1"/>
        <name val="Carlito"/>
        <scheme val="none"/>
      </font>
    </dxf>
    <dxf>
      <font>
        <strike val="0"/>
        <outline val="0"/>
        <shadow val="0"/>
        <u val="none"/>
        <vertAlign val="baseline"/>
        <sz val="11"/>
        <color theme="1"/>
        <name val="Carlito"/>
        <scheme val="none"/>
      </font>
    </dxf>
    <dxf>
      <font>
        <strike val="0"/>
        <outline val="0"/>
        <shadow val="0"/>
        <u val="none"/>
        <vertAlign val="baseline"/>
        <sz val="11"/>
        <color theme="1"/>
        <name val="Carlito"/>
        <scheme val="none"/>
      </font>
    </dxf>
  </dxfs>
  <tableStyles count="0" defaultTableStyle="TableStyleMedium2" defaultPivotStyle="PivotStyleLight16"/>
  <colors>
    <mruColors>
      <color rgb="FFE3F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771072</xdr:colOff>
      <xdr:row>0</xdr:row>
      <xdr:rowOff>45357</xdr:rowOff>
    </xdr:from>
    <xdr:to>
      <xdr:col>2</xdr:col>
      <xdr:colOff>130554</xdr:colOff>
      <xdr:row>2</xdr:row>
      <xdr:rowOff>209551</xdr:rowOff>
    </xdr:to>
    <xdr:pic>
      <xdr:nvPicPr>
        <xdr:cNvPr id="3" name="Imagen 2">
          <a:extLst>
            <a:ext uri="{FF2B5EF4-FFF2-40B4-BE49-F238E27FC236}">
              <a16:creationId xmlns:a16="http://schemas.microsoft.com/office/drawing/2014/main" id="{D553D39B-0635-4F61-8D69-6BC9C7DE6D33}"/>
            </a:ext>
          </a:extLst>
        </xdr:cNvPr>
        <xdr:cNvPicPr>
          <a:picLocks noChangeAspect="1"/>
        </xdr:cNvPicPr>
      </xdr:nvPicPr>
      <xdr:blipFill>
        <a:blip xmlns:r="http://schemas.openxmlformats.org/officeDocument/2006/relationships" r:embed="rId1"/>
        <a:stretch>
          <a:fillRect/>
        </a:stretch>
      </xdr:blipFill>
      <xdr:spPr>
        <a:xfrm>
          <a:off x="771072" y="45357"/>
          <a:ext cx="3160411" cy="6721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462643</xdr:colOff>
      <xdr:row>0</xdr:row>
      <xdr:rowOff>63501</xdr:rowOff>
    </xdr:from>
    <xdr:to>
      <xdr:col>2</xdr:col>
      <xdr:colOff>883483</xdr:colOff>
      <xdr:row>2</xdr:row>
      <xdr:rowOff>227695</xdr:rowOff>
    </xdr:to>
    <xdr:pic>
      <xdr:nvPicPr>
        <xdr:cNvPr id="2" name="Imagen 1">
          <a:extLst>
            <a:ext uri="{FF2B5EF4-FFF2-40B4-BE49-F238E27FC236}">
              <a16:creationId xmlns:a16="http://schemas.microsoft.com/office/drawing/2014/main" id="{B15ED81A-1F68-4426-A017-F6E3241C140C}"/>
            </a:ext>
          </a:extLst>
        </xdr:cNvPr>
        <xdr:cNvPicPr>
          <a:picLocks noChangeAspect="1"/>
        </xdr:cNvPicPr>
      </xdr:nvPicPr>
      <xdr:blipFill>
        <a:blip xmlns:r="http://schemas.openxmlformats.org/officeDocument/2006/relationships" r:embed="rId1"/>
        <a:stretch>
          <a:fillRect/>
        </a:stretch>
      </xdr:blipFill>
      <xdr:spPr>
        <a:xfrm>
          <a:off x="462643" y="63501"/>
          <a:ext cx="3160411" cy="672194"/>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uentesDatosTable" displayName="FuentesDatosTable" ref="A43:H51" headerRowDxfId="6">
  <tableColumns count="8">
    <tableColumn id="1" xr3:uid="{00000000-0010-0000-0000-000001000000}" name="Fuente / sistema"/>
    <tableColumn id="2" xr3:uid="{00000000-0010-0000-0000-000002000000}" name="Responsable"/>
    <tableColumn id="3" xr3:uid="{00000000-0010-0000-0000-000003000000}" name="Periodicidad"/>
    <tableColumn id="4" xr3:uid="{00000000-0010-0000-0000-000004000000}" name="Cobertura"/>
    <tableColumn id="5" xr3:uid="{00000000-0010-0000-0000-000005000000}" name="Llave principal"/>
    <tableColumn id="6" xr3:uid="{00000000-0010-0000-0000-000006000000}" name="Calidad"/>
    <tableColumn id="7" xr3:uid="{00000000-0010-0000-0000-000007000000}" name="Privacidad"/>
    <tableColumn id="8" xr3:uid="{00000000-0010-0000-0000-000008000000}" name="Observacion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eparacionDatosTable" displayName="PreparacionDatosTable" ref="A54:G63" headerRowDxfId="5">
  <tableColumns count="7">
    <tableColumn id="1" xr3:uid="{00000000-0010-0000-0100-000001000000}" name="Dataset / tabla"/>
    <tableColumn id="2" xr3:uid="{00000000-0010-0000-0100-000002000000}" name="Transformación o regla"/>
    <tableColumn id="3" xr3:uid="{00000000-0010-0000-0100-000003000000}" name="Campo origen"/>
    <tableColumn id="4" xr3:uid="{00000000-0010-0000-0100-000004000000}" name="Campo resultado"/>
    <tableColumn id="5" xr3:uid="{00000000-0010-0000-0100-000005000000}" name="Validación aplicada"/>
    <tableColumn id="6" xr3:uid="{00000000-0010-0000-0100-000006000000}" name="Responsable"/>
    <tableColumn id="7" xr3:uid="{00000000-0010-0000-0100-000007000000}" name="Estad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CronogramaCRISPDMTable" displayName="CronogramaCRISPDMTable" ref="A102:H114" headerRowDxfId="4">
  <tableColumns count="8">
    <tableColumn id="1" xr3:uid="{00000000-0010-0000-0200-000001000000}" name="Actividad"/>
    <tableColumn id="2" xr3:uid="{00000000-0010-0000-0200-000002000000}" name="Fase CRISP-DM"/>
    <tableColumn id="3" xr3:uid="{00000000-0010-0000-0200-000003000000}" name="Responsable"/>
    <tableColumn id="4" xr3:uid="{00000000-0010-0000-0200-000004000000}" name="Fecha inicio"/>
    <tableColumn id="5" xr3:uid="{00000000-0010-0000-0200-000005000000}" name="Fecha fin"/>
    <tableColumn id="6" xr3:uid="{00000000-0010-0000-0200-000006000000}" name="Estado"/>
    <tableColumn id="7" xr3:uid="{00000000-0010-0000-0200-000007000000}" name="Avance %"/>
    <tableColumn id="8" xr3:uid="{00000000-0010-0000-0200-000008000000}" name="Entregable / evidenci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ontrolCambiosTable" displayName="ControlCambiosTable" ref="A117:E123" headerRowDxfId="3">
  <tableColumns count="5">
    <tableColumn id="1" xr3:uid="{00000000-0010-0000-0300-000001000000}" name="Fecha"/>
    <tableColumn id="2" xr3:uid="{00000000-0010-0000-0300-000002000000}" name="Versión"/>
    <tableColumn id="3" xr3:uid="{00000000-0010-0000-0300-000003000000}" name="Descripción del cambio"/>
    <tableColumn id="4" xr3:uid="{00000000-0010-0000-0300-000004000000}" name="Responsable"/>
    <tableColumn id="5" xr3:uid="{00000000-0010-0000-0300-000005000000}" name="Aprobó"/>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7"/>
  <sheetViews>
    <sheetView showGridLines="0" zoomScale="70" zoomScaleNormal="70" workbookViewId="0">
      <selection activeCell="H49" sqref="H49"/>
    </sheetView>
  </sheetViews>
  <sheetFormatPr baseColWidth="10" defaultColWidth="8.6640625" defaultRowHeight="14"/>
  <cols>
    <col min="1" max="1" width="31.9140625" bestFit="1" customWidth="1"/>
    <col min="2" max="3" width="18" customWidth="1"/>
    <col min="4" max="9" width="17" customWidth="1"/>
    <col min="10" max="12" width="14" customWidth="1"/>
  </cols>
  <sheetData>
    <row r="1" spans="1:12" ht="20" customHeight="1">
      <c r="A1" s="45"/>
      <c r="B1" s="45"/>
      <c r="C1" s="45"/>
      <c r="D1" s="46" t="s">
        <v>0</v>
      </c>
      <c r="E1" s="46" t="s">
        <v>0</v>
      </c>
      <c r="F1" s="46" t="s">
        <v>0</v>
      </c>
      <c r="G1" s="46" t="s">
        <v>0</v>
      </c>
      <c r="H1" s="46" t="s">
        <v>0</v>
      </c>
      <c r="I1" s="46" t="s">
        <v>0</v>
      </c>
      <c r="J1" s="47" t="s">
        <v>1</v>
      </c>
      <c r="K1" s="47" t="s">
        <v>1</v>
      </c>
      <c r="L1" s="47" t="s">
        <v>1</v>
      </c>
    </row>
    <row r="2" spans="1:12" ht="20" customHeight="1">
      <c r="A2" s="45"/>
      <c r="B2" s="45"/>
      <c r="C2" s="45"/>
      <c r="D2" s="46" t="s">
        <v>2</v>
      </c>
      <c r="E2" s="46" t="s">
        <v>2</v>
      </c>
      <c r="F2" s="46" t="s">
        <v>2</v>
      </c>
      <c r="G2" s="46" t="s">
        <v>2</v>
      </c>
      <c r="H2" s="46" t="s">
        <v>2</v>
      </c>
      <c r="I2" s="46" t="s">
        <v>2</v>
      </c>
      <c r="J2" s="47" t="s">
        <v>3</v>
      </c>
      <c r="K2" s="47" t="s">
        <v>3</v>
      </c>
      <c r="L2" s="47" t="s">
        <v>3</v>
      </c>
    </row>
    <row r="3" spans="1:12" ht="20" customHeight="1">
      <c r="A3" s="45"/>
      <c r="B3" s="45"/>
      <c r="C3" s="45"/>
      <c r="D3" s="46" t="s">
        <v>4</v>
      </c>
      <c r="E3" s="46" t="s">
        <v>4</v>
      </c>
      <c r="F3" s="46" t="s">
        <v>4</v>
      </c>
      <c r="G3" s="46" t="s">
        <v>4</v>
      </c>
      <c r="H3" s="46" t="s">
        <v>4</v>
      </c>
      <c r="I3" s="46" t="s">
        <v>4</v>
      </c>
      <c r="J3" s="47" t="s">
        <v>5</v>
      </c>
      <c r="K3" s="47" t="s">
        <v>5</v>
      </c>
      <c r="L3" s="47" t="s">
        <v>5</v>
      </c>
    </row>
    <row r="4" spans="1:12" ht="25" customHeight="1">
      <c r="A4" s="16" t="s">
        <v>6</v>
      </c>
      <c r="B4" s="16" t="s">
        <v>6</v>
      </c>
      <c r="C4" s="16" t="s">
        <v>6</v>
      </c>
      <c r="D4" s="16" t="s">
        <v>6</v>
      </c>
      <c r="E4" s="16" t="s">
        <v>6</v>
      </c>
      <c r="F4" s="16" t="s">
        <v>6</v>
      </c>
      <c r="G4" s="16" t="s">
        <v>6</v>
      </c>
      <c r="H4" s="16" t="s">
        <v>6</v>
      </c>
      <c r="I4" s="16" t="s">
        <v>6</v>
      </c>
      <c r="J4" s="16" t="s">
        <v>6</v>
      </c>
      <c r="K4" s="16" t="s">
        <v>6</v>
      </c>
      <c r="L4" s="16" t="s">
        <v>6</v>
      </c>
    </row>
    <row r="5" spans="1:12">
      <c r="A5" s="44" t="s">
        <v>7</v>
      </c>
      <c r="B5" s="44" t="s">
        <v>7</v>
      </c>
      <c r="C5" s="44" t="s">
        <v>7</v>
      </c>
      <c r="D5" s="32" t="s">
        <v>184</v>
      </c>
      <c r="E5" s="32" t="s">
        <v>8</v>
      </c>
      <c r="F5" s="32" t="s">
        <v>8</v>
      </c>
      <c r="G5" s="32" t="s">
        <v>8</v>
      </c>
      <c r="H5" s="32" t="s">
        <v>8</v>
      </c>
      <c r="I5" s="32" t="s">
        <v>8</v>
      </c>
      <c r="J5" s="32" t="s">
        <v>8</v>
      </c>
      <c r="K5" s="32" t="s">
        <v>8</v>
      </c>
      <c r="L5" s="32" t="s">
        <v>8</v>
      </c>
    </row>
    <row r="6" spans="1:12">
      <c r="A6" s="44" t="s">
        <v>7</v>
      </c>
      <c r="B6" s="44" t="s">
        <v>7</v>
      </c>
      <c r="C6" s="44" t="s">
        <v>7</v>
      </c>
      <c r="D6" s="32" t="s">
        <v>8</v>
      </c>
      <c r="E6" s="32" t="s">
        <v>8</v>
      </c>
      <c r="F6" s="32" t="s">
        <v>8</v>
      </c>
      <c r="G6" s="32" t="s">
        <v>8</v>
      </c>
      <c r="H6" s="32" t="s">
        <v>8</v>
      </c>
      <c r="I6" s="32" t="s">
        <v>8</v>
      </c>
      <c r="J6" s="32" t="s">
        <v>8</v>
      </c>
      <c r="K6" s="32" t="s">
        <v>8</v>
      </c>
      <c r="L6" s="32" t="s">
        <v>8</v>
      </c>
    </row>
    <row r="7" spans="1:12">
      <c r="A7" s="44" t="s">
        <v>9</v>
      </c>
      <c r="B7" s="44" t="s">
        <v>9</v>
      </c>
      <c r="C7" s="44" t="s">
        <v>9</v>
      </c>
      <c r="D7" s="32" t="s">
        <v>185</v>
      </c>
      <c r="E7" s="32" t="s">
        <v>10</v>
      </c>
      <c r="F7" s="32" t="s">
        <v>10</v>
      </c>
      <c r="G7" s="32" t="s">
        <v>10</v>
      </c>
      <c r="H7" s="32" t="s">
        <v>10</v>
      </c>
      <c r="I7" s="32" t="s">
        <v>10</v>
      </c>
      <c r="J7" s="32" t="s">
        <v>10</v>
      </c>
      <c r="K7" s="32" t="s">
        <v>10</v>
      </c>
      <c r="L7" s="32" t="s">
        <v>10</v>
      </c>
    </row>
    <row r="8" spans="1:12">
      <c r="A8" s="44" t="s">
        <v>9</v>
      </c>
      <c r="B8" s="44" t="s">
        <v>9</v>
      </c>
      <c r="C8" s="44" t="s">
        <v>9</v>
      </c>
      <c r="D8" s="32" t="s">
        <v>10</v>
      </c>
      <c r="E8" s="32" t="s">
        <v>10</v>
      </c>
      <c r="F8" s="32" t="s">
        <v>10</v>
      </c>
      <c r="G8" s="32" t="s">
        <v>10</v>
      </c>
      <c r="H8" s="32" t="s">
        <v>10</v>
      </c>
      <c r="I8" s="32" t="s">
        <v>10</v>
      </c>
      <c r="J8" s="32" t="s">
        <v>10</v>
      </c>
      <c r="K8" s="32" t="s">
        <v>10</v>
      </c>
      <c r="L8" s="32" t="s">
        <v>10</v>
      </c>
    </row>
    <row r="10" spans="1:12" ht="25" customHeight="1">
      <c r="A10" s="16" t="s">
        <v>11</v>
      </c>
      <c r="B10" s="16" t="s">
        <v>11</v>
      </c>
      <c r="C10" s="16" t="s">
        <v>11</v>
      </c>
      <c r="D10" s="16" t="s">
        <v>11</v>
      </c>
      <c r="E10" s="16" t="s">
        <v>11</v>
      </c>
      <c r="F10" s="16" t="s">
        <v>11</v>
      </c>
      <c r="G10" s="16" t="s">
        <v>11</v>
      </c>
      <c r="H10" s="16" t="s">
        <v>11</v>
      </c>
      <c r="I10" s="16" t="s">
        <v>11</v>
      </c>
      <c r="J10" s="16" t="s">
        <v>11</v>
      </c>
      <c r="K10" s="16" t="s">
        <v>11</v>
      </c>
      <c r="L10" s="16" t="s">
        <v>11</v>
      </c>
    </row>
    <row r="11" spans="1:12">
      <c r="A11" s="10" t="s">
        <v>12</v>
      </c>
      <c r="B11" s="43" t="s">
        <v>13</v>
      </c>
      <c r="C11" s="43"/>
      <c r="D11" s="43"/>
      <c r="E11" s="43"/>
      <c r="F11" s="43"/>
      <c r="G11" s="43"/>
      <c r="H11" s="43"/>
      <c r="I11" s="43"/>
      <c r="J11" s="43"/>
      <c r="K11" s="43"/>
      <c r="L11" s="43"/>
    </row>
    <row r="12" spans="1:12">
      <c r="A12" s="14" t="s">
        <v>14</v>
      </c>
      <c r="B12" s="32" t="s">
        <v>162</v>
      </c>
      <c r="C12" s="32"/>
      <c r="D12" s="32"/>
      <c r="E12" s="32"/>
      <c r="F12" s="32"/>
      <c r="G12" s="32"/>
      <c r="H12" s="32"/>
      <c r="I12" s="32"/>
      <c r="J12" s="32"/>
      <c r="K12" s="32"/>
      <c r="L12" s="32"/>
    </row>
    <row r="13" spans="1:12">
      <c r="A13" s="14" t="s">
        <v>15</v>
      </c>
      <c r="B13" s="32" t="s">
        <v>163</v>
      </c>
      <c r="C13" s="32"/>
      <c r="D13" s="32"/>
      <c r="E13" s="32"/>
      <c r="F13" s="32"/>
      <c r="G13" s="32"/>
      <c r="H13" s="32"/>
      <c r="I13" s="32"/>
      <c r="J13" s="32"/>
      <c r="K13" s="32"/>
      <c r="L13" s="32"/>
    </row>
    <row r="14" spans="1:12">
      <c r="A14" s="14" t="s">
        <v>16</v>
      </c>
      <c r="B14" s="32" t="s">
        <v>164</v>
      </c>
      <c r="C14" s="32"/>
      <c r="D14" s="32"/>
      <c r="E14" s="32"/>
      <c r="F14" s="32"/>
      <c r="G14" s="32"/>
      <c r="H14" s="32"/>
      <c r="I14" s="32"/>
      <c r="J14" s="32"/>
      <c r="K14" s="32"/>
      <c r="L14" s="32"/>
    </row>
    <row r="16" spans="1:12" ht="25" customHeight="1">
      <c r="A16" s="16" t="s">
        <v>186</v>
      </c>
      <c r="B16" s="16" t="s">
        <v>17</v>
      </c>
      <c r="C16" s="16" t="s">
        <v>17</v>
      </c>
      <c r="D16" s="16" t="s">
        <v>17</v>
      </c>
      <c r="E16" s="16" t="s">
        <v>17</v>
      </c>
      <c r="F16" s="16" t="s">
        <v>17</v>
      </c>
      <c r="G16" s="16" t="s">
        <v>17</v>
      </c>
      <c r="H16" s="16" t="s">
        <v>17</v>
      </c>
      <c r="I16" s="16" t="s">
        <v>17</v>
      </c>
      <c r="J16" s="16" t="s">
        <v>17</v>
      </c>
      <c r="K16" s="16" t="s">
        <v>17</v>
      </c>
      <c r="L16" s="16" t="s">
        <v>17</v>
      </c>
    </row>
    <row r="17" spans="1:12">
      <c r="A17" s="10" t="s">
        <v>195</v>
      </c>
      <c r="B17" s="42" t="s">
        <v>196</v>
      </c>
      <c r="C17" s="42"/>
      <c r="D17" s="42"/>
      <c r="E17" s="42"/>
      <c r="F17" s="42"/>
      <c r="G17" s="42"/>
      <c r="H17" s="42"/>
      <c r="I17" s="42"/>
      <c r="J17" s="42"/>
      <c r="K17" s="42"/>
      <c r="L17" s="42"/>
    </row>
    <row r="18" spans="1:12">
      <c r="A18" s="11" t="s">
        <v>187</v>
      </c>
      <c r="B18" s="29" t="s">
        <v>204</v>
      </c>
      <c r="C18" s="30"/>
      <c r="D18" s="30"/>
      <c r="E18" s="30"/>
      <c r="F18" s="30"/>
      <c r="G18" s="30"/>
      <c r="H18" s="30"/>
      <c r="I18" s="30"/>
      <c r="J18" s="30"/>
      <c r="K18" s="30"/>
      <c r="L18" s="31"/>
    </row>
    <row r="19" spans="1:12">
      <c r="A19" s="11" t="s">
        <v>188</v>
      </c>
      <c r="B19" s="29" t="s">
        <v>197</v>
      </c>
      <c r="C19" s="30"/>
      <c r="D19" s="30"/>
      <c r="E19" s="30"/>
      <c r="F19" s="30"/>
      <c r="G19" s="30"/>
      <c r="H19" s="30"/>
      <c r="I19" s="30"/>
      <c r="J19" s="30"/>
      <c r="K19" s="30"/>
      <c r="L19" s="31"/>
    </row>
    <row r="20" spans="1:12">
      <c r="A20" s="11" t="s">
        <v>189</v>
      </c>
      <c r="B20" s="29" t="s">
        <v>198</v>
      </c>
      <c r="C20" s="30"/>
      <c r="D20" s="30"/>
      <c r="E20" s="30"/>
      <c r="F20" s="30"/>
      <c r="G20" s="30"/>
      <c r="H20" s="30"/>
      <c r="I20" s="30"/>
      <c r="J20" s="30"/>
      <c r="K20" s="30"/>
      <c r="L20" s="31"/>
    </row>
    <row r="21" spans="1:12">
      <c r="A21" s="11" t="s">
        <v>190</v>
      </c>
      <c r="B21" s="29" t="s">
        <v>199</v>
      </c>
      <c r="C21" s="30"/>
      <c r="D21" s="30"/>
      <c r="E21" s="30"/>
      <c r="F21" s="30"/>
      <c r="G21" s="30"/>
      <c r="H21" s="30"/>
      <c r="I21" s="30"/>
      <c r="J21" s="30"/>
      <c r="K21" s="30"/>
      <c r="L21" s="31"/>
    </row>
    <row r="22" spans="1:12">
      <c r="A22" s="11" t="s">
        <v>191</v>
      </c>
      <c r="B22" s="29" t="s">
        <v>200</v>
      </c>
      <c r="C22" s="30"/>
      <c r="D22" s="30"/>
      <c r="E22" s="30"/>
      <c r="F22" s="30"/>
      <c r="G22" s="30"/>
      <c r="H22" s="30"/>
      <c r="I22" s="30"/>
      <c r="J22" s="30"/>
      <c r="K22" s="30"/>
      <c r="L22" s="31"/>
    </row>
    <row r="23" spans="1:12">
      <c r="A23" s="11" t="s">
        <v>192</v>
      </c>
      <c r="B23" s="29" t="s">
        <v>201</v>
      </c>
      <c r="C23" s="30"/>
      <c r="D23" s="30"/>
      <c r="E23" s="30"/>
      <c r="F23" s="30"/>
      <c r="G23" s="30"/>
      <c r="H23" s="30"/>
      <c r="I23" s="30"/>
      <c r="J23" s="30"/>
      <c r="K23" s="30"/>
      <c r="L23" s="31"/>
    </row>
    <row r="24" spans="1:12">
      <c r="A24" s="11" t="s">
        <v>193</v>
      </c>
      <c r="B24" s="29" t="s">
        <v>202</v>
      </c>
      <c r="C24" s="30"/>
      <c r="D24" s="30"/>
      <c r="E24" s="30"/>
      <c r="F24" s="30"/>
      <c r="G24" s="30"/>
      <c r="H24" s="30"/>
      <c r="I24" s="30"/>
      <c r="J24" s="30"/>
      <c r="K24" s="30"/>
      <c r="L24" s="31"/>
    </row>
    <row r="25" spans="1:12">
      <c r="A25" s="12" t="s">
        <v>194</v>
      </c>
      <c r="B25" s="29" t="s">
        <v>203</v>
      </c>
      <c r="C25" s="30"/>
      <c r="D25" s="30"/>
      <c r="E25" s="30"/>
      <c r="F25" s="30"/>
      <c r="G25" s="30"/>
      <c r="H25" s="30"/>
      <c r="I25" s="30"/>
      <c r="J25" s="30"/>
      <c r="K25" s="30"/>
      <c r="L25" s="31"/>
    </row>
    <row r="26" spans="1:12" ht="15.5" customHeight="1"/>
    <row r="27" spans="1:12" ht="25" customHeight="1">
      <c r="A27" s="39" t="s">
        <v>18</v>
      </c>
      <c r="B27" s="40"/>
      <c r="C27" s="40"/>
      <c r="D27" s="40"/>
      <c r="E27" s="40"/>
      <c r="F27" s="40"/>
      <c r="G27" s="40"/>
      <c r="H27" s="40"/>
      <c r="I27" s="40"/>
      <c r="J27" s="40"/>
      <c r="K27" s="40"/>
      <c r="L27" s="41"/>
    </row>
    <row r="28" spans="1:12" ht="24" customHeight="1">
      <c r="A28" s="9" t="s">
        <v>19</v>
      </c>
      <c r="B28" s="33" t="s">
        <v>20</v>
      </c>
      <c r="C28" s="34"/>
      <c r="D28" s="34"/>
      <c r="E28" s="34"/>
      <c r="F28" s="34"/>
      <c r="G28" s="34"/>
      <c r="H28" s="35"/>
      <c r="I28" s="33" t="s">
        <v>177</v>
      </c>
      <c r="J28" s="34"/>
      <c r="K28" s="34"/>
      <c r="L28" s="35"/>
    </row>
    <row r="29" spans="1:12">
      <c r="A29" s="13" t="s">
        <v>21</v>
      </c>
      <c r="B29" s="36" t="s">
        <v>178</v>
      </c>
      <c r="C29" s="37" t="s">
        <v>22</v>
      </c>
      <c r="D29" s="37"/>
      <c r="E29" s="37"/>
      <c r="F29" s="37"/>
      <c r="G29" s="37"/>
      <c r="H29" s="38"/>
      <c r="I29" s="36" t="s">
        <v>171</v>
      </c>
      <c r="J29" s="37"/>
      <c r="K29" s="37"/>
      <c r="L29" s="38"/>
    </row>
    <row r="30" spans="1:12">
      <c r="A30" s="13" t="s">
        <v>23</v>
      </c>
      <c r="B30" s="36" t="s">
        <v>179</v>
      </c>
      <c r="C30" s="37" t="s">
        <v>24</v>
      </c>
      <c r="D30" s="37"/>
      <c r="E30" s="37"/>
      <c r="F30" s="37"/>
      <c r="G30" s="37"/>
      <c r="H30" s="38"/>
      <c r="I30" s="36" t="s">
        <v>172</v>
      </c>
      <c r="J30" s="37"/>
      <c r="K30" s="37"/>
      <c r="L30" s="38"/>
    </row>
    <row r="31" spans="1:12">
      <c r="A31" s="13" t="s">
        <v>25</v>
      </c>
      <c r="B31" s="36" t="s">
        <v>180</v>
      </c>
      <c r="C31" s="37" t="s">
        <v>26</v>
      </c>
      <c r="D31" s="37"/>
      <c r="E31" s="37"/>
      <c r="F31" s="37"/>
      <c r="G31" s="37"/>
      <c r="H31" s="38"/>
      <c r="I31" s="36" t="s">
        <v>173</v>
      </c>
      <c r="J31" s="37"/>
      <c r="K31" s="37"/>
      <c r="L31" s="38"/>
    </row>
    <row r="32" spans="1:12">
      <c r="A32" s="13" t="s">
        <v>27</v>
      </c>
      <c r="B32" s="36" t="s">
        <v>181</v>
      </c>
      <c r="C32" s="37" t="s">
        <v>28</v>
      </c>
      <c r="D32" s="37"/>
      <c r="E32" s="37"/>
      <c r="F32" s="37"/>
      <c r="G32" s="37"/>
      <c r="H32" s="38"/>
      <c r="I32" s="36" t="s">
        <v>174</v>
      </c>
      <c r="J32" s="37"/>
      <c r="K32" s="37"/>
      <c r="L32" s="38"/>
    </row>
    <row r="33" spans="1:12">
      <c r="A33" s="13" t="s">
        <v>29</v>
      </c>
      <c r="B33" s="36" t="s">
        <v>182</v>
      </c>
      <c r="C33" s="37" t="s">
        <v>30</v>
      </c>
      <c r="D33" s="37"/>
      <c r="E33" s="37"/>
      <c r="F33" s="37"/>
      <c r="G33" s="37"/>
      <c r="H33" s="38"/>
      <c r="I33" s="36" t="s">
        <v>175</v>
      </c>
      <c r="J33" s="37"/>
      <c r="K33" s="37"/>
      <c r="L33" s="38"/>
    </row>
    <row r="34" spans="1:12">
      <c r="A34" s="13" t="s">
        <v>31</v>
      </c>
      <c r="B34" s="36" t="s">
        <v>183</v>
      </c>
      <c r="C34" s="37" t="s">
        <v>32</v>
      </c>
      <c r="D34" s="37"/>
      <c r="E34" s="37"/>
      <c r="F34" s="37"/>
      <c r="G34" s="37"/>
      <c r="H34" s="38"/>
      <c r="I34" s="36" t="s">
        <v>176</v>
      </c>
      <c r="J34" s="37"/>
      <c r="K34" s="37"/>
      <c r="L34" s="38"/>
    </row>
    <row r="36" spans="1:12" ht="25" customHeight="1">
      <c r="A36" s="16" t="s">
        <v>33</v>
      </c>
      <c r="B36" s="16" t="s">
        <v>33</v>
      </c>
      <c r="C36" s="16" t="s">
        <v>33</v>
      </c>
      <c r="D36" s="16" t="s">
        <v>33</v>
      </c>
      <c r="E36" s="16" t="s">
        <v>33</v>
      </c>
      <c r="F36" s="16" t="s">
        <v>33</v>
      </c>
      <c r="G36" s="16" t="s">
        <v>33</v>
      </c>
      <c r="H36" s="16" t="s">
        <v>33</v>
      </c>
      <c r="I36" s="16" t="s">
        <v>33</v>
      </c>
      <c r="J36" s="16" t="s">
        <v>33</v>
      </c>
      <c r="K36" s="16" t="s">
        <v>33</v>
      </c>
      <c r="L36" s="16" t="s">
        <v>33</v>
      </c>
    </row>
    <row r="37" spans="1:12">
      <c r="A37" s="14" t="s">
        <v>34</v>
      </c>
      <c r="B37" s="32" t="s">
        <v>165</v>
      </c>
      <c r="C37" s="32" t="s">
        <v>35</v>
      </c>
      <c r="D37" s="32" t="s">
        <v>35</v>
      </c>
      <c r="E37" s="32" t="s">
        <v>35</v>
      </c>
      <c r="F37" s="32" t="s">
        <v>35</v>
      </c>
      <c r="G37" s="32" t="s">
        <v>35</v>
      </c>
      <c r="H37" s="32" t="s">
        <v>35</v>
      </c>
      <c r="I37" s="32" t="s">
        <v>35</v>
      </c>
      <c r="J37" s="32" t="s">
        <v>35</v>
      </c>
      <c r="K37" s="32" t="s">
        <v>35</v>
      </c>
      <c r="L37" s="32" t="s">
        <v>35</v>
      </c>
    </row>
    <row r="38" spans="1:12">
      <c r="A38" s="14" t="s">
        <v>36</v>
      </c>
      <c r="B38" s="32" t="s">
        <v>166</v>
      </c>
      <c r="C38" s="32" t="s">
        <v>37</v>
      </c>
      <c r="D38" s="32" t="s">
        <v>37</v>
      </c>
      <c r="E38" s="32" t="s">
        <v>37</v>
      </c>
      <c r="F38" s="32" t="s">
        <v>37</v>
      </c>
      <c r="G38" s="32" t="s">
        <v>37</v>
      </c>
      <c r="H38" s="32" t="s">
        <v>37</v>
      </c>
      <c r="I38" s="32" t="s">
        <v>37</v>
      </c>
      <c r="J38" s="32" t="s">
        <v>37</v>
      </c>
      <c r="K38" s="32" t="s">
        <v>37</v>
      </c>
      <c r="L38" s="32" t="s">
        <v>37</v>
      </c>
    </row>
    <row r="39" spans="1:12">
      <c r="A39" s="14" t="s">
        <v>38</v>
      </c>
      <c r="B39" s="32" t="s">
        <v>167</v>
      </c>
      <c r="C39" s="32" t="s">
        <v>39</v>
      </c>
      <c r="D39" s="32" t="s">
        <v>39</v>
      </c>
      <c r="E39" s="32" t="s">
        <v>39</v>
      </c>
      <c r="F39" s="32" t="s">
        <v>39</v>
      </c>
      <c r="G39" s="32" t="s">
        <v>39</v>
      </c>
      <c r="H39" s="32" t="s">
        <v>39</v>
      </c>
      <c r="I39" s="32" t="s">
        <v>39</v>
      </c>
      <c r="J39" s="32" t="s">
        <v>39</v>
      </c>
      <c r="K39" s="32" t="s">
        <v>39</v>
      </c>
      <c r="L39" s="32" t="s">
        <v>39</v>
      </c>
    </row>
    <row r="40" spans="1:12">
      <c r="A40" s="14" t="s">
        <v>40</v>
      </c>
      <c r="B40" s="32" t="s">
        <v>168</v>
      </c>
      <c r="C40" s="32" t="s">
        <v>41</v>
      </c>
      <c r="D40" s="32" t="s">
        <v>41</v>
      </c>
      <c r="E40" s="32" t="s">
        <v>41</v>
      </c>
      <c r="F40" s="32" t="s">
        <v>41</v>
      </c>
      <c r="G40" s="32" t="s">
        <v>41</v>
      </c>
      <c r="H40" s="32" t="s">
        <v>41</v>
      </c>
      <c r="I40" s="32" t="s">
        <v>41</v>
      </c>
      <c r="J40" s="32" t="s">
        <v>41</v>
      </c>
      <c r="K40" s="32" t="s">
        <v>41</v>
      </c>
      <c r="L40" s="32" t="s">
        <v>41</v>
      </c>
    </row>
    <row r="41" spans="1:12">
      <c r="A41" s="14" t="s">
        <v>42</v>
      </c>
      <c r="B41" s="32" t="s">
        <v>169</v>
      </c>
      <c r="C41" s="32" t="s">
        <v>43</v>
      </c>
      <c r="D41" s="32" t="s">
        <v>43</v>
      </c>
      <c r="E41" s="32" t="s">
        <v>43</v>
      </c>
      <c r="F41" s="32" t="s">
        <v>43</v>
      </c>
      <c r="G41" s="32" t="s">
        <v>43</v>
      </c>
      <c r="H41" s="32" t="s">
        <v>43</v>
      </c>
      <c r="I41" s="32" t="s">
        <v>43</v>
      </c>
      <c r="J41" s="32" t="s">
        <v>43</v>
      </c>
      <c r="K41" s="32" t="s">
        <v>43</v>
      </c>
      <c r="L41" s="32" t="s">
        <v>43</v>
      </c>
    </row>
    <row r="42" spans="1:12">
      <c r="A42" s="14" t="s">
        <v>44</v>
      </c>
      <c r="B42" s="32" t="s">
        <v>170</v>
      </c>
      <c r="C42" s="32" t="s">
        <v>45</v>
      </c>
      <c r="D42" s="32" t="s">
        <v>45</v>
      </c>
      <c r="E42" s="32" t="s">
        <v>45</v>
      </c>
      <c r="F42" s="32" t="s">
        <v>45</v>
      </c>
      <c r="G42" s="32" t="s">
        <v>45</v>
      </c>
      <c r="H42" s="32" t="s">
        <v>45</v>
      </c>
      <c r="I42" s="32" t="s">
        <v>45</v>
      </c>
      <c r="J42" s="32" t="s">
        <v>45</v>
      </c>
      <c r="K42" s="32" t="s">
        <v>45</v>
      </c>
      <c r="L42" s="32" t="s">
        <v>45</v>
      </c>
    </row>
    <row r="44" spans="1:12" ht="14.65" customHeight="1">
      <c r="A44" s="21" t="s">
        <v>46</v>
      </c>
      <c r="B44" s="21" t="s">
        <v>46</v>
      </c>
      <c r="C44" s="21" t="s">
        <v>46</v>
      </c>
      <c r="D44" s="21" t="s">
        <v>46</v>
      </c>
      <c r="E44" s="21" t="s">
        <v>46</v>
      </c>
      <c r="F44" s="21" t="s">
        <v>46</v>
      </c>
      <c r="G44" s="21" t="s">
        <v>46</v>
      </c>
      <c r="H44" s="21" t="s">
        <v>46</v>
      </c>
      <c r="I44" s="21" t="s">
        <v>46</v>
      </c>
      <c r="J44" s="21" t="s">
        <v>46</v>
      </c>
      <c r="K44" s="21" t="s">
        <v>46</v>
      </c>
      <c r="L44" s="21" t="s">
        <v>46</v>
      </c>
    </row>
    <row r="45" spans="1:12">
      <c r="A45" s="15" t="s">
        <v>205</v>
      </c>
      <c r="B45" s="15" t="s">
        <v>47</v>
      </c>
      <c r="C45" s="15" t="s">
        <v>47</v>
      </c>
      <c r="D45" s="15" t="s">
        <v>47</v>
      </c>
      <c r="E45" s="15" t="s">
        <v>47</v>
      </c>
      <c r="F45" s="15" t="s">
        <v>47</v>
      </c>
      <c r="G45" s="15" t="s">
        <v>47</v>
      </c>
      <c r="H45" s="15" t="s">
        <v>47</v>
      </c>
      <c r="I45" s="15" t="s">
        <v>47</v>
      </c>
      <c r="J45" s="15" t="s">
        <v>47</v>
      </c>
      <c r="K45" s="15" t="s">
        <v>47</v>
      </c>
      <c r="L45" s="15" t="s">
        <v>47</v>
      </c>
    </row>
    <row r="46" spans="1:12">
      <c r="A46" s="15" t="s">
        <v>47</v>
      </c>
      <c r="B46" s="15" t="s">
        <v>47</v>
      </c>
      <c r="C46" s="15" t="s">
        <v>47</v>
      </c>
      <c r="D46" s="15" t="s">
        <v>47</v>
      </c>
      <c r="E46" s="15" t="s">
        <v>47</v>
      </c>
      <c r="F46" s="15" t="s">
        <v>47</v>
      </c>
      <c r="G46" s="15" t="s">
        <v>47</v>
      </c>
      <c r="H46" s="15" t="s">
        <v>47</v>
      </c>
      <c r="I46" s="15" t="s">
        <v>47</v>
      </c>
      <c r="J46" s="15" t="s">
        <v>47</v>
      </c>
      <c r="K46" s="15" t="s">
        <v>47</v>
      </c>
      <c r="L46" s="15" t="s">
        <v>47</v>
      </c>
    </row>
    <row r="47" spans="1:12">
      <c r="A47" s="15" t="s">
        <v>47</v>
      </c>
      <c r="B47" s="15" t="s">
        <v>47</v>
      </c>
      <c r="C47" s="15" t="s">
        <v>47</v>
      </c>
      <c r="D47" s="15" t="s">
        <v>47</v>
      </c>
      <c r="E47" s="15" t="s">
        <v>47</v>
      </c>
      <c r="F47" s="15" t="s">
        <v>47</v>
      </c>
      <c r="G47" s="15" t="s">
        <v>47</v>
      </c>
      <c r="H47" s="15" t="s">
        <v>47</v>
      </c>
      <c r="I47" s="15" t="s">
        <v>47</v>
      </c>
      <c r="J47" s="15" t="s">
        <v>47</v>
      </c>
      <c r="K47" s="15" t="s">
        <v>47</v>
      </c>
      <c r="L47" s="15" t="s">
        <v>47</v>
      </c>
    </row>
  </sheetData>
  <mergeCells count="51">
    <mergeCell ref="A1:C3"/>
    <mergeCell ref="D1:I1"/>
    <mergeCell ref="D2:I2"/>
    <mergeCell ref="D3:I3"/>
    <mergeCell ref="J1:L1"/>
    <mergeCell ref="J2:L2"/>
    <mergeCell ref="J3:L3"/>
    <mergeCell ref="A4:L4"/>
    <mergeCell ref="A5:C6"/>
    <mergeCell ref="D5:L6"/>
    <mergeCell ref="A7:C8"/>
    <mergeCell ref="D7:L8"/>
    <mergeCell ref="B21:L21"/>
    <mergeCell ref="B22:L22"/>
    <mergeCell ref="A10:L10"/>
    <mergeCell ref="B11:L11"/>
    <mergeCell ref="B12:L12"/>
    <mergeCell ref="B13:L13"/>
    <mergeCell ref="B14:L14"/>
    <mergeCell ref="A16:L16"/>
    <mergeCell ref="B17:L17"/>
    <mergeCell ref="B18:L18"/>
    <mergeCell ref="B19:L19"/>
    <mergeCell ref="B20:L20"/>
    <mergeCell ref="A44:L44"/>
    <mergeCell ref="A45:L47"/>
    <mergeCell ref="B28:H28"/>
    <mergeCell ref="I28:L28"/>
    <mergeCell ref="A36:L36"/>
    <mergeCell ref="B37:L37"/>
    <mergeCell ref="B38:L38"/>
    <mergeCell ref="B39:L39"/>
    <mergeCell ref="B40:L40"/>
    <mergeCell ref="B32:H32"/>
    <mergeCell ref="I32:L32"/>
    <mergeCell ref="B33:H33"/>
    <mergeCell ref="I33:L33"/>
    <mergeCell ref="B34:H34"/>
    <mergeCell ref="I34:L34"/>
    <mergeCell ref="B29:H29"/>
    <mergeCell ref="B23:L23"/>
    <mergeCell ref="B24:L24"/>
    <mergeCell ref="B25:L25"/>
    <mergeCell ref="B41:L41"/>
    <mergeCell ref="B42:L42"/>
    <mergeCell ref="I29:L29"/>
    <mergeCell ref="B30:H30"/>
    <mergeCell ref="I30:L30"/>
    <mergeCell ref="B31:H31"/>
    <mergeCell ref="I31:L31"/>
    <mergeCell ref="A27:L2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26"/>
  <sheetViews>
    <sheetView showGridLines="0" tabSelected="1" topLeftCell="A16" zoomScale="70" zoomScaleNormal="70" workbookViewId="0">
      <selection activeCell="D37" sqref="D37:L38"/>
    </sheetView>
  </sheetViews>
  <sheetFormatPr baseColWidth="10" defaultColWidth="8.6640625" defaultRowHeight="14"/>
  <cols>
    <col min="1" max="3" width="18" customWidth="1"/>
    <col min="4" max="9" width="17" customWidth="1"/>
    <col min="10" max="10" width="20.83203125" bestFit="1" customWidth="1"/>
    <col min="11" max="12" width="14" customWidth="1"/>
  </cols>
  <sheetData>
    <row r="1" spans="1:12" ht="20" customHeight="1">
      <c r="A1" s="26"/>
      <c r="B1" s="26"/>
      <c r="C1" s="26"/>
      <c r="D1" s="27" t="s">
        <v>0</v>
      </c>
      <c r="E1" s="27" t="s">
        <v>0</v>
      </c>
      <c r="F1" s="27" t="s">
        <v>0</v>
      </c>
      <c r="G1" s="27" t="s">
        <v>0</v>
      </c>
      <c r="H1" s="27" t="s">
        <v>0</v>
      </c>
      <c r="I1" s="27" t="s">
        <v>0</v>
      </c>
      <c r="J1" s="28" t="s">
        <v>1</v>
      </c>
      <c r="K1" s="28" t="s">
        <v>1</v>
      </c>
      <c r="L1" s="28" t="s">
        <v>1</v>
      </c>
    </row>
    <row r="2" spans="1:12" ht="20" customHeight="1">
      <c r="A2" s="26"/>
      <c r="B2" s="26"/>
      <c r="C2" s="26"/>
      <c r="D2" s="27" t="s">
        <v>2</v>
      </c>
      <c r="E2" s="27" t="s">
        <v>2</v>
      </c>
      <c r="F2" s="27" t="s">
        <v>2</v>
      </c>
      <c r="G2" s="27" t="s">
        <v>2</v>
      </c>
      <c r="H2" s="27" t="s">
        <v>2</v>
      </c>
      <c r="I2" s="27" t="s">
        <v>2</v>
      </c>
      <c r="J2" s="28" t="s">
        <v>3</v>
      </c>
      <c r="K2" s="28" t="s">
        <v>3</v>
      </c>
      <c r="L2" s="28" t="s">
        <v>3</v>
      </c>
    </row>
    <row r="3" spans="1:12" ht="20" customHeight="1">
      <c r="A3" s="26"/>
      <c r="B3" s="26"/>
      <c r="C3" s="26"/>
      <c r="D3" s="27" t="s">
        <v>4</v>
      </c>
      <c r="E3" s="27" t="s">
        <v>4</v>
      </c>
      <c r="F3" s="27" t="s">
        <v>4</v>
      </c>
      <c r="G3" s="27" t="s">
        <v>4</v>
      </c>
      <c r="H3" s="27" t="s">
        <v>4</v>
      </c>
      <c r="I3" s="27" t="s">
        <v>4</v>
      </c>
      <c r="J3" s="28" t="s">
        <v>5</v>
      </c>
      <c r="K3" s="28" t="s">
        <v>5</v>
      </c>
      <c r="L3" s="28" t="s">
        <v>5</v>
      </c>
    </row>
    <row r="4" spans="1:12" ht="25" customHeight="1">
      <c r="A4" s="16" t="s">
        <v>48</v>
      </c>
      <c r="B4" s="16"/>
      <c r="C4" s="16"/>
      <c r="D4" s="16"/>
      <c r="E4" s="16"/>
      <c r="F4" s="16"/>
      <c r="G4" s="16"/>
      <c r="H4" s="16"/>
      <c r="I4" s="16"/>
      <c r="J4" s="16"/>
      <c r="K4" s="16"/>
      <c r="L4" s="16"/>
    </row>
    <row r="5" spans="1:12">
      <c r="A5" s="51" t="s">
        <v>49</v>
      </c>
      <c r="B5" s="51"/>
      <c r="C5" s="51"/>
      <c r="D5" s="52" t="s">
        <v>206</v>
      </c>
      <c r="E5" s="53"/>
      <c r="F5" s="54"/>
      <c r="G5" s="55" t="s">
        <v>50</v>
      </c>
      <c r="H5" s="56"/>
      <c r="I5" s="57"/>
      <c r="J5" s="17" t="s">
        <v>209</v>
      </c>
      <c r="K5" s="18"/>
      <c r="L5" s="19"/>
    </row>
    <row r="6" spans="1:12">
      <c r="A6" s="51" t="s">
        <v>51</v>
      </c>
      <c r="B6" s="51"/>
      <c r="C6" s="51"/>
      <c r="D6" s="48" t="s">
        <v>207</v>
      </c>
      <c r="E6" s="49"/>
      <c r="F6" s="50"/>
      <c r="G6" s="55" t="s">
        <v>52</v>
      </c>
      <c r="H6" s="56"/>
      <c r="I6" s="57"/>
      <c r="J6" s="17" t="s">
        <v>131</v>
      </c>
      <c r="K6" s="18"/>
      <c r="L6" s="19"/>
    </row>
    <row r="7" spans="1:12">
      <c r="A7" s="51" t="s">
        <v>53</v>
      </c>
      <c r="B7" s="51"/>
      <c r="C7" s="51"/>
      <c r="D7" s="52" t="s">
        <v>208</v>
      </c>
      <c r="E7" s="53"/>
      <c r="F7" s="54"/>
      <c r="G7" s="55" t="s">
        <v>54</v>
      </c>
      <c r="H7" s="56"/>
      <c r="I7" s="57"/>
      <c r="J7" s="17" t="s">
        <v>210</v>
      </c>
      <c r="K7" s="18"/>
      <c r="L7" s="19"/>
    </row>
    <row r="8" spans="1:12">
      <c r="A8" s="51" t="s">
        <v>55</v>
      </c>
      <c r="B8" s="51"/>
      <c r="C8" s="51"/>
      <c r="D8" s="59">
        <v>46169</v>
      </c>
      <c r="E8" s="53"/>
      <c r="F8" s="54"/>
      <c r="G8" s="55" t="s">
        <v>56</v>
      </c>
      <c r="H8" s="56"/>
      <c r="I8" s="57"/>
      <c r="J8" s="17" t="s">
        <v>135</v>
      </c>
      <c r="K8" s="18"/>
      <c r="L8" s="19"/>
    </row>
    <row r="9" spans="1:12">
      <c r="A9" s="51" t="s">
        <v>36</v>
      </c>
      <c r="B9" s="51"/>
      <c r="C9" s="51"/>
      <c r="D9" s="52" t="s">
        <v>130</v>
      </c>
      <c r="E9" s="53"/>
      <c r="F9" s="54"/>
      <c r="G9" s="55" t="s">
        <v>38</v>
      </c>
      <c r="H9" s="56"/>
      <c r="I9" s="57"/>
      <c r="J9" s="17" t="s">
        <v>138</v>
      </c>
      <c r="K9" s="18"/>
      <c r="L9" s="19"/>
    </row>
    <row r="10" spans="1:12">
      <c r="A10" s="51" t="s">
        <v>57</v>
      </c>
      <c r="B10" s="51"/>
      <c r="C10" s="51"/>
      <c r="D10" s="52" t="s">
        <v>151</v>
      </c>
      <c r="E10" s="53"/>
      <c r="F10" s="54"/>
      <c r="G10" s="55" t="s">
        <v>58</v>
      </c>
      <c r="H10" s="56"/>
      <c r="I10" s="57"/>
      <c r="J10" s="60" t="s">
        <v>211</v>
      </c>
      <c r="K10" s="61"/>
      <c r="L10" s="62"/>
    </row>
    <row r="11" spans="1:12">
      <c r="A11" s="58"/>
      <c r="B11" s="58"/>
      <c r="C11" s="58"/>
      <c r="D11" s="58"/>
      <c r="E11" s="58"/>
      <c r="F11" s="58"/>
      <c r="G11" s="58"/>
      <c r="H11" s="58"/>
      <c r="I11" s="58"/>
    </row>
    <row r="12" spans="1:12" ht="25" customHeight="1">
      <c r="A12" s="23" t="s">
        <v>59</v>
      </c>
      <c r="B12" s="23" t="s">
        <v>59</v>
      </c>
      <c r="C12" s="23" t="s">
        <v>59</v>
      </c>
      <c r="D12" s="23" t="s">
        <v>59</v>
      </c>
      <c r="E12" s="23" t="s">
        <v>59</v>
      </c>
      <c r="F12" s="23" t="s">
        <v>59</v>
      </c>
      <c r="G12" s="23" t="s">
        <v>59</v>
      </c>
      <c r="H12" s="23" t="s">
        <v>59</v>
      </c>
      <c r="I12" s="23" t="s">
        <v>59</v>
      </c>
      <c r="J12" s="23" t="s">
        <v>59</v>
      </c>
      <c r="K12" s="23" t="s">
        <v>59</v>
      </c>
      <c r="L12" s="23" t="s">
        <v>59</v>
      </c>
    </row>
    <row r="13" spans="1:12" ht="13.5" customHeight="1">
      <c r="A13" s="51" t="s">
        <v>60</v>
      </c>
      <c r="B13" s="51" t="s">
        <v>60</v>
      </c>
      <c r="C13" s="51" t="s">
        <v>60</v>
      </c>
      <c r="D13" s="20" t="s">
        <v>212</v>
      </c>
      <c r="E13" s="20"/>
      <c r="F13" s="20"/>
      <c r="G13" s="20"/>
      <c r="H13" s="20"/>
      <c r="I13" s="20"/>
      <c r="J13" s="20"/>
      <c r="K13" s="20"/>
      <c r="L13" s="20"/>
    </row>
    <row r="14" spans="1:12" ht="13.5" customHeight="1">
      <c r="A14" s="51" t="s">
        <v>60</v>
      </c>
      <c r="B14" s="51" t="s">
        <v>60</v>
      </c>
      <c r="C14" s="51" t="s">
        <v>60</v>
      </c>
      <c r="D14" s="20"/>
      <c r="E14" s="20"/>
      <c r="F14" s="20"/>
      <c r="G14" s="20"/>
      <c r="H14" s="20"/>
      <c r="I14" s="20"/>
      <c r="J14" s="20"/>
      <c r="K14" s="20"/>
      <c r="L14" s="20"/>
    </row>
    <row r="15" spans="1:12" ht="13.5" customHeight="1">
      <c r="A15" s="51" t="s">
        <v>61</v>
      </c>
      <c r="B15" s="51" t="s">
        <v>61</v>
      </c>
      <c r="C15" s="51" t="s">
        <v>61</v>
      </c>
      <c r="D15" s="20" t="s">
        <v>213</v>
      </c>
      <c r="E15" s="20"/>
      <c r="F15" s="20"/>
      <c r="G15" s="20"/>
      <c r="H15" s="20"/>
      <c r="I15" s="20"/>
      <c r="J15" s="20"/>
      <c r="K15" s="20"/>
      <c r="L15" s="20"/>
    </row>
    <row r="16" spans="1:12" ht="13.5" customHeight="1">
      <c r="A16" s="51" t="s">
        <v>61</v>
      </c>
      <c r="B16" s="51" t="s">
        <v>61</v>
      </c>
      <c r="C16" s="51" t="s">
        <v>61</v>
      </c>
      <c r="D16" s="20"/>
      <c r="E16" s="20"/>
      <c r="F16" s="20"/>
      <c r="G16" s="20"/>
      <c r="H16" s="20"/>
      <c r="I16" s="20"/>
      <c r="J16" s="20"/>
      <c r="K16" s="20"/>
      <c r="L16" s="20"/>
    </row>
    <row r="17" spans="1:12" ht="13.5" customHeight="1">
      <c r="A17" s="51" t="s">
        <v>62</v>
      </c>
      <c r="B17" s="51" t="s">
        <v>62</v>
      </c>
      <c r="C17" s="51" t="s">
        <v>62</v>
      </c>
      <c r="D17" s="20" t="s">
        <v>214</v>
      </c>
      <c r="E17" s="20"/>
      <c r="F17" s="20"/>
      <c r="G17" s="20"/>
      <c r="H17" s="20"/>
      <c r="I17" s="20"/>
      <c r="J17" s="20"/>
      <c r="K17" s="20"/>
      <c r="L17" s="20"/>
    </row>
    <row r="18" spans="1:12" ht="13.5" customHeight="1">
      <c r="A18" s="51" t="s">
        <v>62</v>
      </c>
      <c r="B18" s="51" t="s">
        <v>62</v>
      </c>
      <c r="C18" s="51" t="s">
        <v>62</v>
      </c>
      <c r="D18" s="20"/>
      <c r="E18" s="20"/>
      <c r="F18" s="20"/>
      <c r="G18" s="20"/>
      <c r="H18" s="20"/>
      <c r="I18" s="20"/>
      <c r="J18" s="20"/>
      <c r="K18" s="20"/>
      <c r="L18" s="20"/>
    </row>
    <row r="19" spans="1:12" ht="13.5" customHeight="1">
      <c r="A19" s="51" t="s">
        <v>63</v>
      </c>
      <c r="B19" s="51" t="s">
        <v>63</v>
      </c>
      <c r="C19" s="51" t="s">
        <v>63</v>
      </c>
      <c r="D19" s="20" t="s">
        <v>215</v>
      </c>
      <c r="E19" s="20"/>
      <c r="F19" s="20"/>
      <c r="G19" s="20"/>
      <c r="H19" s="20"/>
      <c r="I19" s="20"/>
      <c r="J19" s="20"/>
      <c r="K19" s="20"/>
      <c r="L19" s="20"/>
    </row>
    <row r="20" spans="1:12" ht="13.5" customHeight="1">
      <c r="A20" s="51" t="s">
        <v>63</v>
      </c>
      <c r="B20" s="51" t="s">
        <v>63</v>
      </c>
      <c r="C20" s="51" t="s">
        <v>63</v>
      </c>
      <c r="D20" s="20"/>
      <c r="E20" s="20"/>
      <c r="F20" s="20"/>
      <c r="G20" s="20"/>
      <c r="H20" s="20"/>
      <c r="I20" s="20"/>
      <c r="J20" s="20"/>
      <c r="K20" s="20"/>
      <c r="L20" s="20"/>
    </row>
    <row r="21" spans="1:12" ht="13.5" customHeight="1">
      <c r="A21" s="51" t="s">
        <v>64</v>
      </c>
      <c r="B21" s="51" t="s">
        <v>64</v>
      </c>
      <c r="C21" s="51" t="s">
        <v>64</v>
      </c>
      <c r="D21" s="20" t="s">
        <v>216</v>
      </c>
      <c r="E21" s="20"/>
      <c r="F21" s="20"/>
      <c r="G21" s="20"/>
      <c r="H21" s="20"/>
      <c r="I21" s="20"/>
      <c r="J21" s="20"/>
      <c r="K21" s="20"/>
      <c r="L21" s="20"/>
    </row>
    <row r="22" spans="1:12" ht="13.5" customHeight="1">
      <c r="A22" s="51" t="s">
        <v>64</v>
      </c>
      <c r="B22" s="51" t="s">
        <v>64</v>
      </c>
      <c r="C22" s="51" t="s">
        <v>64</v>
      </c>
      <c r="D22" s="20"/>
      <c r="E22" s="20"/>
      <c r="F22" s="20"/>
      <c r="G22" s="20"/>
      <c r="H22" s="20"/>
      <c r="I22" s="20"/>
      <c r="J22" s="20"/>
      <c r="K22" s="20"/>
      <c r="L22" s="20"/>
    </row>
    <row r="23" spans="1:12" ht="13.5" customHeight="1">
      <c r="A23" s="51" t="s">
        <v>65</v>
      </c>
      <c r="B23" s="51" t="s">
        <v>65</v>
      </c>
      <c r="C23" s="51" t="s">
        <v>65</v>
      </c>
      <c r="D23" s="20" t="s">
        <v>217</v>
      </c>
      <c r="E23" s="20"/>
      <c r="F23" s="20"/>
      <c r="G23" s="20"/>
      <c r="H23" s="20"/>
      <c r="I23" s="20"/>
      <c r="J23" s="20"/>
      <c r="K23" s="20"/>
      <c r="L23" s="20"/>
    </row>
    <row r="24" spans="1:12" ht="13.5" customHeight="1">
      <c r="A24" s="51" t="s">
        <v>65</v>
      </c>
      <c r="B24" s="51" t="s">
        <v>65</v>
      </c>
      <c r="C24" s="51" t="s">
        <v>65</v>
      </c>
      <c r="D24" s="20"/>
      <c r="E24" s="20"/>
      <c r="F24" s="20"/>
      <c r="G24" s="20"/>
      <c r="H24" s="20"/>
      <c r="I24" s="20"/>
      <c r="J24" s="20"/>
      <c r="K24" s="20"/>
      <c r="L24" s="20"/>
    </row>
    <row r="26" spans="1:12" ht="25" customHeight="1">
      <c r="A26" s="16" t="s">
        <v>66</v>
      </c>
      <c r="B26" s="16" t="s">
        <v>66</v>
      </c>
      <c r="C26" s="16" t="s">
        <v>66</v>
      </c>
      <c r="D26" s="16" t="s">
        <v>66</v>
      </c>
      <c r="E26" s="16" t="s">
        <v>66</v>
      </c>
      <c r="F26" s="16" t="s">
        <v>66</v>
      </c>
      <c r="G26" s="16" t="s">
        <v>66</v>
      </c>
      <c r="H26" s="16" t="s">
        <v>66</v>
      </c>
      <c r="I26" s="16" t="s">
        <v>66</v>
      </c>
      <c r="J26" s="16" t="s">
        <v>66</v>
      </c>
      <c r="K26" s="16" t="s">
        <v>66</v>
      </c>
      <c r="L26" s="16" t="s">
        <v>66</v>
      </c>
    </row>
    <row r="27" spans="1:12" ht="21.4" customHeight="1">
      <c r="A27" s="51" t="s">
        <v>67</v>
      </c>
      <c r="B27" s="51" t="s">
        <v>67</v>
      </c>
      <c r="C27" s="51" t="s">
        <v>67</v>
      </c>
      <c r="D27" s="20" t="s">
        <v>218</v>
      </c>
      <c r="E27" s="20"/>
      <c r="F27" s="20"/>
      <c r="G27" s="20"/>
      <c r="H27" s="20"/>
      <c r="I27" s="20"/>
      <c r="J27" s="20"/>
      <c r="K27" s="20"/>
      <c r="L27" s="20"/>
    </row>
    <row r="28" spans="1:12" ht="21.4" customHeight="1">
      <c r="A28" s="51" t="s">
        <v>67</v>
      </c>
      <c r="B28" s="51" t="s">
        <v>67</v>
      </c>
      <c r="C28" s="51" t="s">
        <v>67</v>
      </c>
      <c r="D28" s="20"/>
      <c r="E28" s="20"/>
      <c r="F28" s="20"/>
      <c r="G28" s="20"/>
      <c r="H28" s="20"/>
      <c r="I28" s="20"/>
      <c r="J28" s="20"/>
      <c r="K28" s="20"/>
      <c r="L28" s="20"/>
    </row>
    <row r="29" spans="1:12" ht="21.4" customHeight="1">
      <c r="A29" s="51" t="s">
        <v>68</v>
      </c>
      <c r="B29" s="51" t="s">
        <v>68</v>
      </c>
      <c r="C29" s="51" t="s">
        <v>68</v>
      </c>
      <c r="D29" s="20" t="s">
        <v>227</v>
      </c>
      <c r="E29" s="20"/>
      <c r="F29" s="20"/>
      <c r="G29" s="20"/>
      <c r="H29" s="20"/>
      <c r="I29" s="20"/>
      <c r="J29" s="20"/>
      <c r="K29" s="20"/>
      <c r="L29" s="20"/>
    </row>
    <row r="30" spans="1:12" ht="21.4" customHeight="1">
      <c r="A30" s="51" t="s">
        <v>68</v>
      </c>
      <c r="B30" s="51" t="s">
        <v>68</v>
      </c>
      <c r="C30" s="51" t="s">
        <v>68</v>
      </c>
      <c r="D30" s="20"/>
      <c r="E30" s="20"/>
      <c r="F30" s="20"/>
      <c r="G30" s="20"/>
      <c r="H30" s="20"/>
      <c r="I30" s="20"/>
      <c r="J30" s="20"/>
      <c r="K30" s="20"/>
      <c r="L30" s="20"/>
    </row>
    <row r="31" spans="1:12" ht="21.4" customHeight="1">
      <c r="A31" s="51" t="s">
        <v>69</v>
      </c>
      <c r="B31" s="51" t="s">
        <v>69</v>
      </c>
      <c r="C31" s="51" t="s">
        <v>69</v>
      </c>
      <c r="D31" s="20" t="s">
        <v>228</v>
      </c>
      <c r="E31" s="20"/>
      <c r="F31" s="20"/>
      <c r="G31" s="20"/>
      <c r="H31" s="20"/>
      <c r="I31" s="20"/>
      <c r="J31" s="20"/>
      <c r="K31" s="20"/>
      <c r="L31" s="20"/>
    </row>
    <row r="32" spans="1:12" ht="21.4" customHeight="1">
      <c r="A32" s="51" t="s">
        <v>69</v>
      </c>
      <c r="B32" s="51" t="s">
        <v>69</v>
      </c>
      <c r="C32" s="51" t="s">
        <v>69</v>
      </c>
      <c r="D32" s="20"/>
      <c r="E32" s="20"/>
      <c r="F32" s="20"/>
      <c r="G32" s="20"/>
      <c r="H32" s="20"/>
      <c r="I32" s="20"/>
      <c r="J32" s="20"/>
      <c r="K32" s="20"/>
      <c r="L32" s="20"/>
    </row>
    <row r="33" spans="1:12" ht="21.4" customHeight="1">
      <c r="A33" s="51" t="s">
        <v>70</v>
      </c>
      <c r="B33" s="51" t="s">
        <v>70</v>
      </c>
      <c r="C33" s="51" t="s">
        <v>70</v>
      </c>
      <c r="D33" s="20" t="s">
        <v>229</v>
      </c>
      <c r="E33" s="20"/>
      <c r="F33" s="20"/>
      <c r="G33" s="20"/>
      <c r="H33" s="20"/>
      <c r="I33" s="20"/>
      <c r="J33" s="20"/>
      <c r="K33" s="20"/>
      <c r="L33" s="20"/>
    </row>
    <row r="34" spans="1:12" ht="21.4" customHeight="1">
      <c r="A34" s="51" t="s">
        <v>70</v>
      </c>
      <c r="B34" s="51" t="s">
        <v>70</v>
      </c>
      <c r="C34" s="51" t="s">
        <v>70</v>
      </c>
      <c r="D34" s="20"/>
      <c r="E34" s="20"/>
      <c r="F34" s="20"/>
      <c r="G34" s="20"/>
      <c r="H34" s="20"/>
      <c r="I34" s="20"/>
      <c r="J34" s="20"/>
      <c r="K34" s="20"/>
      <c r="L34" s="20"/>
    </row>
    <row r="35" spans="1:12" ht="21.4" customHeight="1">
      <c r="A35" s="51" t="s">
        <v>71</v>
      </c>
      <c r="B35" s="51" t="s">
        <v>71</v>
      </c>
      <c r="C35" s="51" t="s">
        <v>71</v>
      </c>
      <c r="D35" s="20" t="s">
        <v>230</v>
      </c>
      <c r="E35" s="20"/>
      <c r="F35" s="20"/>
      <c r="G35" s="20"/>
      <c r="H35" s="20"/>
      <c r="I35" s="20"/>
      <c r="J35" s="20"/>
      <c r="K35" s="20"/>
      <c r="L35" s="20"/>
    </row>
    <row r="36" spans="1:12" ht="21.4" customHeight="1">
      <c r="A36" s="51" t="s">
        <v>71</v>
      </c>
      <c r="B36" s="51" t="s">
        <v>71</v>
      </c>
      <c r="C36" s="51" t="s">
        <v>71</v>
      </c>
      <c r="D36" s="20"/>
      <c r="E36" s="20"/>
      <c r="F36" s="20"/>
      <c r="G36" s="20"/>
      <c r="H36" s="20"/>
      <c r="I36" s="20"/>
      <c r="J36" s="20"/>
      <c r="K36" s="20"/>
      <c r="L36" s="20"/>
    </row>
    <row r="37" spans="1:12" ht="21.4" customHeight="1">
      <c r="A37" s="51" t="s">
        <v>72</v>
      </c>
      <c r="B37" s="51" t="s">
        <v>72</v>
      </c>
      <c r="C37" s="51" t="s">
        <v>72</v>
      </c>
      <c r="D37" s="20"/>
      <c r="E37" s="20"/>
      <c r="F37" s="20"/>
      <c r="G37" s="20"/>
      <c r="H37" s="20"/>
      <c r="I37" s="20"/>
      <c r="J37" s="20"/>
      <c r="K37" s="20"/>
      <c r="L37" s="20"/>
    </row>
    <row r="38" spans="1:12" ht="21.4" customHeight="1">
      <c r="A38" s="51" t="s">
        <v>72</v>
      </c>
      <c r="B38" s="51" t="s">
        <v>72</v>
      </c>
      <c r="C38" s="51" t="s">
        <v>72</v>
      </c>
      <c r="D38" s="20"/>
      <c r="E38" s="20"/>
      <c r="F38" s="20"/>
      <c r="G38" s="20"/>
      <c r="H38" s="20"/>
      <c r="I38" s="20"/>
      <c r="J38" s="20"/>
      <c r="K38" s="20"/>
      <c r="L38" s="20"/>
    </row>
    <row r="39" spans="1:12" ht="21.4" customHeight="1">
      <c r="A39" s="51" t="s">
        <v>73</v>
      </c>
      <c r="B39" s="51" t="s">
        <v>73</v>
      </c>
      <c r="C39" s="51" t="s">
        <v>73</v>
      </c>
      <c r="D39" s="20"/>
      <c r="E39" s="20"/>
      <c r="F39" s="20"/>
      <c r="G39" s="20"/>
      <c r="H39" s="20"/>
      <c r="I39" s="20"/>
      <c r="J39" s="20"/>
      <c r="K39" s="20"/>
      <c r="L39" s="20"/>
    </row>
    <row r="40" spans="1:12" ht="21.4" customHeight="1">
      <c r="A40" s="51" t="s">
        <v>73</v>
      </c>
      <c r="B40" s="51" t="s">
        <v>73</v>
      </c>
      <c r="C40" s="51" t="s">
        <v>73</v>
      </c>
      <c r="D40" s="20"/>
      <c r="E40" s="20"/>
      <c r="F40" s="20"/>
      <c r="G40" s="20"/>
      <c r="H40" s="20"/>
      <c r="I40" s="20"/>
      <c r="J40" s="20"/>
      <c r="K40" s="20"/>
      <c r="L40" s="20"/>
    </row>
    <row r="42" spans="1:12" ht="25" customHeight="1">
      <c r="A42" s="23" t="s">
        <v>74</v>
      </c>
      <c r="B42" s="23" t="s">
        <v>74</v>
      </c>
      <c r="C42" s="23" t="s">
        <v>74</v>
      </c>
      <c r="D42" s="23" t="s">
        <v>74</v>
      </c>
      <c r="E42" s="23" t="s">
        <v>74</v>
      </c>
      <c r="F42" s="23" t="s">
        <v>74</v>
      </c>
      <c r="G42" s="23" t="s">
        <v>74</v>
      </c>
      <c r="H42" s="23" t="s">
        <v>74</v>
      </c>
      <c r="I42" s="23" t="s">
        <v>74</v>
      </c>
      <c r="J42" s="23" t="s">
        <v>74</v>
      </c>
      <c r="K42" s="23" t="s">
        <v>74</v>
      </c>
      <c r="L42" s="23" t="s">
        <v>74</v>
      </c>
    </row>
    <row r="43" spans="1:12" ht="25.5" customHeight="1">
      <c r="A43" s="8" t="s">
        <v>75</v>
      </c>
      <c r="B43" s="8" t="s">
        <v>76</v>
      </c>
      <c r="C43" s="8" t="s">
        <v>57</v>
      </c>
      <c r="D43" s="8" t="s">
        <v>77</v>
      </c>
      <c r="E43" s="8" t="s">
        <v>78</v>
      </c>
      <c r="F43" s="8" t="s">
        <v>79</v>
      </c>
      <c r="G43" s="8" t="s">
        <v>80</v>
      </c>
      <c r="H43" s="8" t="s">
        <v>81</v>
      </c>
      <c r="J43" s="24" t="s">
        <v>82</v>
      </c>
      <c r="K43" s="24" t="s">
        <v>82</v>
      </c>
      <c r="L43" s="24" t="s">
        <v>82</v>
      </c>
    </row>
    <row r="44" spans="1:12">
      <c r="A44" s="1"/>
      <c r="B44" s="1"/>
      <c r="C44" s="1"/>
      <c r="D44" s="1"/>
      <c r="E44" s="1"/>
      <c r="F44" s="1"/>
      <c r="G44" s="1"/>
      <c r="H44" s="1"/>
      <c r="J44" s="24" t="s">
        <v>82</v>
      </c>
      <c r="K44" s="24" t="s">
        <v>82</v>
      </c>
      <c r="L44" s="24" t="s">
        <v>82</v>
      </c>
    </row>
    <row r="45" spans="1:12">
      <c r="A45" s="1"/>
      <c r="B45" s="1"/>
      <c r="C45" s="1"/>
      <c r="D45" s="1"/>
      <c r="E45" s="1"/>
      <c r="F45" s="1"/>
      <c r="G45" s="1"/>
      <c r="H45" s="1"/>
      <c r="J45" s="25" t="s">
        <v>83</v>
      </c>
      <c r="K45" s="25"/>
      <c r="L45" s="3">
        <f>SUMPRODUCT(--(A44:A51&lt;&gt;""))</f>
        <v>0</v>
      </c>
    </row>
    <row r="46" spans="1:12">
      <c r="A46" s="1"/>
      <c r="B46" s="1"/>
      <c r="C46" s="1"/>
      <c r="D46" s="1"/>
      <c r="E46" s="1"/>
      <c r="F46" s="1"/>
      <c r="G46" s="1"/>
      <c r="H46" s="1"/>
      <c r="J46" s="25" t="s">
        <v>84</v>
      </c>
      <c r="K46" s="25"/>
      <c r="L46" s="3">
        <f>SUMPRODUCT(--(A103:A114&lt;&gt;""))</f>
        <v>0</v>
      </c>
    </row>
    <row r="47" spans="1:12">
      <c r="A47" s="1"/>
      <c r="B47" s="1"/>
      <c r="C47" s="1"/>
      <c r="D47" s="1"/>
      <c r="E47" s="1"/>
      <c r="F47" s="1"/>
      <c r="G47" s="1"/>
      <c r="H47" s="1"/>
      <c r="J47" s="25" t="s">
        <v>85</v>
      </c>
      <c r="K47" s="25"/>
      <c r="L47" s="4">
        <f>IFERROR(AVERAGEIF(A103:A114,"&lt;&gt;",G103:G114),0)</f>
        <v>0</v>
      </c>
    </row>
    <row r="48" spans="1:12">
      <c r="A48" s="1"/>
      <c r="B48" s="1"/>
      <c r="C48" s="1"/>
      <c r="D48" s="1"/>
      <c r="E48" s="1"/>
      <c r="F48" s="1"/>
      <c r="G48" s="1"/>
      <c r="H48" s="1"/>
      <c r="J48" s="25" t="s">
        <v>86</v>
      </c>
      <c r="K48" s="25"/>
      <c r="L48" s="3">
        <f>COUNTIF(F103:F114,"Cerrado")</f>
        <v>0</v>
      </c>
    </row>
    <row r="49" spans="1:12" ht="17.399999999999999" customHeight="1">
      <c r="A49" s="1"/>
      <c r="B49" s="1"/>
      <c r="C49" s="1"/>
      <c r="D49" s="1"/>
      <c r="E49" s="1"/>
      <c r="F49" s="1"/>
      <c r="G49" s="1"/>
      <c r="H49" s="1"/>
    </row>
    <row r="50" spans="1:12" ht="17.399999999999999" customHeight="1">
      <c r="A50" s="1"/>
      <c r="B50" s="1"/>
      <c r="C50" s="1"/>
      <c r="D50" s="1"/>
      <c r="E50" s="1"/>
      <c r="F50" s="1"/>
      <c r="G50" s="1"/>
      <c r="H50" s="1"/>
    </row>
    <row r="51" spans="1:12" ht="17.399999999999999" customHeight="1">
      <c r="A51" s="1"/>
      <c r="B51" s="1"/>
      <c r="C51" s="1"/>
      <c r="D51" s="1"/>
      <c r="E51" s="1"/>
      <c r="F51" s="1"/>
      <c r="G51" s="1"/>
      <c r="H51" s="1"/>
    </row>
    <row r="53" spans="1:12" ht="25" customHeight="1">
      <c r="A53" s="23" t="s">
        <v>87</v>
      </c>
      <c r="B53" s="23" t="s">
        <v>87</v>
      </c>
      <c r="C53" s="23" t="s">
        <v>87</v>
      </c>
      <c r="D53" s="23" t="s">
        <v>87</v>
      </c>
      <c r="E53" s="23" t="s">
        <v>87</v>
      </c>
      <c r="F53" s="23" t="s">
        <v>87</v>
      </c>
      <c r="G53" s="23" t="s">
        <v>87</v>
      </c>
      <c r="H53" s="23" t="s">
        <v>87</v>
      </c>
      <c r="I53" s="23" t="s">
        <v>87</v>
      </c>
      <c r="J53" s="23" t="s">
        <v>87</v>
      </c>
      <c r="K53" s="23" t="s">
        <v>87</v>
      </c>
      <c r="L53" s="23" t="s">
        <v>87</v>
      </c>
    </row>
    <row r="54" spans="1:12" ht="28">
      <c r="A54" s="8" t="s">
        <v>88</v>
      </c>
      <c r="B54" s="8" t="s">
        <v>89</v>
      </c>
      <c r="C54" s="8" t="s">
        <v>90</v>
      </c>
      <c r="D54" s="8" t="s">
        <v>91</v>
      </c>
      <c r="E54" s="8" t="s">
        <v>92</v>
      </c>
      <c r="F54" s="8" t="s">
        <v>76</v>
      </c>
      <c r="G54" s="8" t="s">
        <v>93</v>
      </c>
    </row>
    <row r="55" spans="1:12" ht="17.399999999999999" customHeight="1">
      <c r="A55" s="1"/>
      <c r="B55" s="1"/>
      <c r="C55" s="1"/>
      <c r="D55" s="1"/>
      <c r="E55" s="1"/>
      <c r="F55" s="1"/>
      <c r="G55" s="1"/>
    </row>
    <row r="56" spans="1:12" ht="17.399999999999999" customHeight="1">
      <c r="A56" s="1"/>
      <c r="B56" s="1"/>
      <c r="C56" s="1"/>
      <c r="D56" s="1"/>
      <c r="E56" s="1"/>
      <c r="F56" s="1"/>
      <c r="G56" s="1"/>
    </row>
    <row r="57" spans="1:12" ht="17.399999999999999" customHeight="1">
      <c r="A57" s="1"/>
      <c r="B57" s="1"/>
      <c r="C57" s="1"/>
      <c r="D57" s="1"/>
      <c r="E57" s="1"/>
      <c r="F57" s="1"/>
      <c r="G57" s="1"/>
    </row>
    <row r="58" spans="1:12" ht="17.399999999999999" customHeight="1">
      <c r="A58" s="1"/>
      <c r="B58" s="1"/>
      <c r="C58" s="1"/>
      <c r="D58" s="1"/>
      <c r="E58" s="1"/>
      <c r="F58" s="1"/>
      <c r="G58" s="1"/>
    </row>
    <row r="59" spans="1:12" ht="17.399999999999999" customHeight="1">
      <c r="A59" s="1"/>
      <c r="B59" s="1"/>
      <c r="C59" s="1"/>
      <c r="D59" s="1"/>
      <c r="E59" s="1"/>
      <c r="F59" s="1"/>
      <c r="G59" s="1"/>
    </row>
    <row r="60" spans="1:12" ht="17.399999999999999" customHeight="1">
      <c r="A60" s="1"/>
      <c r="B60" s="1"/>
      <c r="C60" s="1"/>
      <c r="D60" s="1"/>
      <c r="E60" s="1"/>
      <c r="F60" s="1"/>
      <c r="G60" s="1"/>
    </row>
    <row r="61" spans="1:12" ht="17.399999999999999" customHeight="1">
      <c r="A61" s="1"/>
      <c r="B61" s="1"/>
      <c r="C61" s="1"/>
      <c r="D61" s="1"/>
      <c r="E61" s="1"/>
      <c r="F61" s="1"/>
      <c r="G61" s="1"/>
    </row>
    <row r="62" spans="1:12" ht="17.399999999999999" customHeight="1">
      <c r="A62" s="1"/>
      <c r="B62" s="1"/>
      <c r="C62" s="1"/>
      <c r="D62" s="1"/>
      <c r="E62" s="1"/>
      <c r="F62" s="1"/>
      <c r="G62" s="1"/>
    </row>
    <row r="63" spans="1:12" ht="17.399999999999999" customHeight="1">
      <c r="A63" s="1"/>
      <c r="B63" s="1"/>
      <c r="C63" s="1"/>
      <c r="D63" s="1"/>
      <c r="E63" s="1"/>
      <c r="F63" s="1"/>
      <c r="G63" s="1"/>
    </row>
    <row r="65" spans="1:12" ht="25" customHeight="1">
      <c r="A65" s="16" t="s">
        <v>94</v>
      </c>
      <c r="B65" s="16" t="s">
        <v>94</v>
      </c>
      <c r="C65" s="16" t="s">
        <v>94</v>
      </c>
      <c r="D65" s="16" t="s">
        <v>94</v>
      </c>
      <c r="E65" s="16" t="s">
        <v>94</v>
      </c>
      <c r="F65" s="16" t="s">
        <v>94</v>
      </c>
      <c r="G65" s="16" t="s">
        <v>94</v>
      </c>
      <c r="H65" s="16" t="s">
        <v>94</v>
      </c>
      <c r="I65" s="16" t="s">
        <v>94</v>
      </c>
      <c r="J65" s="16" t="s">
        <v>94</v>
      </c>
      <c r="K65" s="16" t="s">
        <v>94</v>
      </c>
      <c r="L65" s="16" t="s">
        <v>94</v>
      </c>
    </row>
    <row r="66" spans="1:12" ht="21.4" customHeight="1">
      <c r="A66" s="51" t="s">
        <v>95</v>
      </c>
      <c r="B66" s="51" t="s">
        <v>95</v>
      </c>
      <c r="C66" s="51" t="s">
        <v>95</v>
      </c>
      <c r="D66" s="20"/>
      <c r="E66" s="20"/>
      <c r="F66" s="20"/>
      <c r="G66" s="20"/>
      <c r="H66" s="20"/>
      <c r="I66" s="20"/>
      <c r="J66" s="20"/>
      <c r="K66" s="20"/>
      <c r="L66" s="20"/>
    </row>
    <row r="67" spans="1:12">
      <c r="A67" s="51" t="s">
        <v>95</v>
      </c>
      <c r="B67" s="51" t="s">
        <v>95</v>
      </c>
      <c r="C67" s="51" t="s">
        <v>95</v>
      </c>
      <c r="D67" s="20"/>
      <c r="E67" s="20"/>
      <c r="F67" s="20"/>
      <c r="G67" s="20"/>
      <c r="H67" s="20"/>
      <c r="I67" s="20"/>
      <c r="J67" s="20"/>
      <c r="K67" s="20"/>
      <c r="L67" s="20"/>
    </row>
    <row r="68" spans="1:12" ht="21.4" customHeight="1">
      <c r="A68" s="51" t="s">
        <v>96</v>
      </c>
      <c r="B68" s="51" t="s">
        <v>96</v>
      </c>
      <c r="C68" s="51" t="s">
        <v>96</v>
      </c>
      <c r="D68" s="20"/>
      <c r="E68" s="20"/>
      <c r="F68" s="20"/>
      <c r="G68" s="20"/>
      <c r="H68" s="20"/>
      <c r="I68" s="20"/>
      <c r="J68" s="20"/>
      <c r="K68" s="20"/>
      <c r="L68" s="20"/>
    </row>
    <row r="69" spans="1:12">
      <c r="A69" s="51" t="s">
        <v>96</v>
      </c>
      <c r="B69" s="51" t="s">
        <v>96</v>
      </c>
      <c r="C69" s="51" t="s">
        <v>96</v>
      </c>
      <c r="D69" s="20"/>
      <c r="E69" s="20"/>
      <c r="F69" s="20"/>
      <c r="G69" s="20"/>
      <c r="H69" s="20"/>
      <c r="I69" s="20"/>
      <c r="J69" s="20"/>
      <c r="K69" s="20"/>
      <c r="L69" s="20"/>
    </row>
    <row r="70" spans="1:12" ht="21.4" customHeight="1">
      <c r="A70" s="51" t="s">
        <v>97</v>
      </c>
      <c r="B70" s="51" t="s">
        <v>97</v>
      </c>
      <c r="C70" s="51" t="s">
        <v>97</v>
      </c>
      <c r="D70" s="20"/>
      <c r="E70" s="20"/>
      <c r="F70" s="20"/>
      <c r="G70" s="20"/>
      <c r="H70" s="20"/>
      <c r="I70" s="20"/>
      <c r="J70" s="20"/>
      <c r="K70" s="20"/>
      <c r="L70" s="20"/>
    </row>
    <row r="71" spans="1:12">
      <c r="A71" s="51" t="s">
        <v>97</v>
      </c>
      <c r="B71" s="51" t="s">
        <v>97</v>
      </c>
      <c r="C71" s="51" t="s">
        <v>97</v>
      </c>
      <c r="D71" s="20"/>
      <c r="E71" s="20"/>
      <c r="F71" s="20"/>
      <c r="G71" s="20"/>
      <c r="H71" s="20"/>
      <c r="I71" s="20"/>
      <c r="J71" s="20"/>
      <c r="K71" s="20"/>
      <c r="L71" s="20"/>
    </row>
    <row r="72" spans="1:12" ht="21.4" customHeight="1">
      <c r="A72" s="51" t="s">
        <v>98</v>
      </c>
      <c r="B72" s="51" t="s">
        <v>98</v>
      </c>
      <c r="C72" s="51" t="s">
        <v>98</v>
      </c>
      <c r="D72" s="20"/>
      <c r="E72" s="20"/>
      <c r="F72" s="20"/>
      <c r="G72" s="20"/>
      <c r="H72" s="20"/>
      <c r="I72" s="20"/>
      <c r="J72" s="20"/>
      <c r="K72" s="20"/>
      <c r="L72" s="20"/>
    </row>
    <row r="73" spans="1:12">
      <c r="A73" s="51" t="s">
        <v>98</v>
      </c>
      <c r="B73" s="51" t="s">
        <v>98</v>
      </c>
      <c r="C73" s="51" t="s">
        <v>98</v>
      </c>
      <c r="D73" s="20"/>
      <c r="E73" s="20"/>
      <c r="F73" s="20"/>
      <c r="G73" s="20"/>
      <c r="H73" s="20"/>
      <c r="I73" s="20"/>
      <c r="J73" s="20"/>
      <c r="K73" s="20"/>
      <c r="L73" s="20"/>
    </row>
    <row r="74" spans="1:12" ht="21.4" customHeight="1">
      <c r="A74" s="51" t="s">
        <v>99</v>
      </c>
      <c r="B74" s="51" t="s">
        <v>99</v>
      </c>
      <c r="C74" s="51" t="s">
        <v>99</v>
      </c>
      <c r="D74" s="20"/>
      <c r="E74" s="20"/>
      <c r="F74" s="20"/>
      <c r="G74" s="20"/>
      <c r="H74" s="20"/>
      <c r="I74" s="20"/>
      <c r="J74" s="20"/>
      <c r="K74" s="20"/>
      <c r="L74" s="20"/>
    </row>
    <row r="75" spans="1:12">
      <c r="A75" s="51" t="s">
        <v>99</v>
      </c>
      <c r="B75" s="51" t="s">
        <v>99</v>
      </c>
      <c r="C75" s="51" t="s">
        <v>99</v>
      </c>
      <c r="D75" s="20"/>
      <c r="E75" s="20"/>
      <c r="F75" s="20"/>
      <c r="G75" s="20"/>
      <c r="H75" s="20"/>
      <c r="I75" s="20"/>
      <c r="J75" s="20"/>
      <c r="K75" s="20"/>
      <c r="L75" s="20"/>
    </row>
    <row r="77" spans="1:12" ht="25" customHeight="1">
      <c r="A77" s="16" t="s">
        <v>100</v>
      </c>
      <c r="B77" s="16" t="s">
        <v>100</v>
      </c>
      <c r="C77" s="16" t="s">
        <v>100</v>
      </c>
      <c r="D77" s="16" t="s">
        <v>100</v>
      </c>
      <c r="E77" s="16" t="s">
        <v>100</v>
      </c>
      <c r="F77" s="16" t="s">
        <v>100</v>
      </c>
      <c r="G77" s="16" t="s">
        <v>100</v>
      </c>
      <c r="H77" s="16" t="s">
        <v>100</v>
      </c>
      <c r="I77" s="16" t="s">
        <v>100</v>
      </c>
      <c r="J77" s="16" t="s">
        <v>100</v>
      </c>
      <c r="K77" s="16" t="s">
        <v>100</v>
      </c>
      <c r="L77" s="16" t="s">
        <v>100</v>
      </c>
    </row>
    <row r="78" spans="1:12" ht="21.4" customHeight="1">
      <c r="A78" s="51" t="s">
        <v>101</v>
      </c>
      <c r="B78" s="51" t="s">
        <v>101</v>
      </c>
      <c r="C78" s="51" t="s">
        <v>101</v>
      </c>
      <c r="D78" s="20"/>
      <c r="E78" s="20"/>
      <c r="F78" s="20"/>
      <c r="G78" s="20"/>
      <c r="H78" s="20"/>
      <c r="I78" s="20"/>
      <c r="J78" s="20"/>
      <c r="K78" s="20"/>
      <c r="L78" s="20"/>
    </row>
    <row r="79" spans="1:12">
      <c r="A79" s="51" t="s">
        <v>101</v>
      </c>
      <c r="B79" s="51" t="s">
        <v>101</v>
      </c>
      <c r="C79" s="51" t="s">
        <v>101</v>
      </c>
      <c r="D79" s="20"/>
      <c r="E79" s="20"/>
      <c r="F79" s="20"/>
      <c r="G79" s="20"/>
      <c r="H79" s="20"/>
      <c r="I79" s="20"/>
      <c r="J79" s="20"/>
      <c r="K79" s="20"/>
      <c r="L79" s="20"/>
    </row>
    <row r="80" spans="1:12" ht="21.4" customHeight="1">
      <c r="A80" s="51" t="s">
        <v>102</v>
      </c>
      <c r="B80" s="51" t="s">
        <v>102</v>
      </c>
      <c r="C80" s="51" t="s">
        <v>102</v>
      </c>
      <c r="D80" s="20"/>
      <c r="E80" s="20"/>
      <c r="F80" s="20"/>
      <c r="G80" s="20"/>
      <c r="H80" s="20"/>
      <c r="I80" s="20"/>
      <c r="J80" s="20"/>
      <c r="K80" s="20"/>
      <c r="L80" s="20"/>
    </row>
    <row r="81" spans="1:12">
      <c r="A81" s="51" t="s">
        <v>102</v>
      </c>
      <c r="B81" s="51" t="s">
        <v>102</v>
      </c>
      <c r="C81" s="51" t="s">
        <v>102</v>
      </c>
      <c r="D81" s="20"/>
      <c r="E81" s="20"/>
      <c r="F81" s="20"/>
      <c r="G81" s="20"/>
      <c r="H81" s="20"/>
      <c r="I81" s="20"/>
      <c r="J81" s="20"/>
      <c r="K81" s="20"/>
      <c r="L81" s="20"/>
    </row>
    <row r="82" spans="1:12" ht="21.4" customHeight="1">
      <c r="A82" s="51" t="s">
        <v>103</v>
      </c>
      <c r="B82" s="51" t="s">
        <v>103</v>
      </c>
      <c r="C82" s="51" t="s">
        <v>103</v>
      </c>
      <c r="D82" s="20"/>
      <c r="E82" s="20"/>
      <c r="F82" s="20"/>
      <c r="G82" s="20"/>
      <c r="H82" s="20"/>
      <c r="I82" s="20"/>
      <c r="J82" s="20"/>
      <c r="K82" s="20"/>
      <c r="L82" s="20"/>
    </row>
    <row r="83" spans="1:12">
      <c r="A83" s="51" t="s">
        <v>103</v>
      </c>
      <c r="B83" s="51" t="s">
        <v>103</v>
      </c>
      <c r="C83" s="51" t="s">
        <v>103</v>
      </c>
      <c r="D83" s="20"/>
      <c r="E83" s="20"/>
      <c r="F83" s="20"/>
      <c r="G83" s="20"/>
      <c r="H83" s="20"/>
      <c r="I83" s="20"/>
      <c r="J83" s="20"/>
      <c r="K83" s="20"/>
      <c r="L83" s="20"/>
    </row>
    <row r="84" spans="1:12" ht="21.4" customHeight="1">
      <c r="A84" s="51" t="s">
        <v>104</v>
      </c>
      <c r="B84" s="51" t="s">
        <v>104</v>
      </c>
      <c r="C84" s="51" t="s">
        <v>104</v>
      </c>
      <c r="D84" s="20"/>
      <c r="E84" s="20"/>
      <c r="F84" s="20"/>
      <c r="G84" s="20"/>
      <c r="H84" s="20"/>
      <c r="I84" s="20"/>
      <c r="J84" s="20"/>
      <c r="K84" s="20"/>
      <c r="L84" s="20"/>
    </row>
    <row r="85" spans="1:12">
      <c r="A85" s="51" t="s">
        <v>104</v>
      </c>
      <c r="B85" s="51" t="s">
        <v>104</v>
      </c>
      <c r="C85" s="51" t="s">
        <v>104</v>
      </c>
      <c r="D85" s="20"/>
      <c r="E85" s="20"/>
      <c r="F85" s="20"/>
      <c r="G85" s="20"/>
      <c r="H85" s="20"/>
      <c r="I85" s="20"/>
      <c r="J85" s="20"/>
      <c r="K85" s="20"/>
      <c r="L85" s="20"/>
    </row>
    <row r="86" spans="1:12" ht="21.4" customHeight="1">
      <c r="A86" s="51" t="s">
        <v>105</v>
      </c>
      <c r="B86" s="51" t="s">
        <v>105</v>
      </c>
      <c r="C86" s="51" t="s">
        <v>105</v>
      </c>
      <c r="D86" s="20"/>
      <c r="E86" s="20"/>
      <c r="F86" s="20"/>
      <c r="G86" s="20"/>
      <c r="H86" s="20"/>
      <c r="I86" s="20"/>
      <c r="J86" s="20"/>
      <c r="K86" s="20"/>
      <c r="L86" s="20"/>
    </row>
    <row r="87" spans="1:12">
      <c r="A87" s="51" t="s">
        <v>105</v>
      </c>
      <c r="B87" s="51" t="s">
        <v>105</v>
      </c>
      <c r="C87" s="51" t="s">
        <v>105</v>
      </c>
      <c r="D87" s="20"/>
      <c r="E87" s="20"/>
      <c r="F87" s="20"/>
      <c r="G87" s="20"/>
      <c r="H87" s="20"/>
      <c r="I87" s="20"/>
      <c r="J87" s="20"/>
      <c r="K87" s="20"/>
      <c r="L87" s="20"/>
    </row>
    <row r="89" spans="1:12" ht="25" customHeight="1">
      <c r="A89" s="16" t="s">
        <v>106</v>
      </c>
      <c r="B89" s="16" t="s">
        <v>106</v>
      </c>
      <c r="C89" s="16" t="s">
        <v>106</v>
      </c>
      <c r="D89" s="16" t="s">
        <v>106</v>
      </c>
      <c r="E89" s="16" t="s">
        <v>106</v>
      </c>
      <c r="F89" s="16" t="s">
        <v>106</v>
      </c>
      <c r="G89" s="16" t="s">
        <v>106</v>
      </c>
      <c r="H89" s="16" t="s">
        <v>106</v>
      </c>
      <c r="I89" s="16" t="s">
        <v>106</v>
      </c>
      <c r="J89" s="16" t="s">
        <v>106</v>
      </c>
      <c r="K89" s="16" t="s">
        <v>106</v>
      </c>
      <c r="L89" s="16" t="s">
        <v>106</v>
      </c>
    </row>
    <row r="90" spans="1:12" ht="21.4" customHeight="1">
      <c r="A90" s="51" t="s">
        <v>107</v>
      </c>
      <c r="B90" s="51" t="s">
        <v>107</v>
      </c>
      <c r="C90" s="51" t="s">
        <v>107</v>
      </c>
      <c r="D90" s="20"/>
      <c r="E90" s="20"/>
      <c r="F90" s="20"/>
      <c r="G90" s="20"/>
      <c r="H90" s="20"/>
      <c r="I90" s="20"/>
      <c r="J90" s="20"/>
      <c r="K90" s="20"/>
      <c r="L90" s="20"/>
    </row>
    <row r="91" spans="1:12">
      <c r="A91" s="51" t="s">
        <v>107</v>
      </c>
      <c r="B91" s="51" t="s">
        <v>107</v>
      </c>
      <c r="C91" s="51" t="s">
        <v>107</v>
      </c>
      <c r="D91" s="20"/>
      <c r="E91" s="20"/>
      <c r="F91" s="20"/>
      <c r="G91" s="20"/>
      <c r="H91" s="20"/>
      <c r="I91" s="20"/>
      <c r="J91" s="20"/>
      <c r="K91" s="20"/>
      <c r="L91" s="20"/>
    </row>
    <row r="92" spans="1:12" ht="21.4" customHeight="1">
      <c r="A92" s="51" t="s">
        <v>108</v>
      </c>
      <c r="B92" s="51" t="s">
        <v>108</v>
      </c>
      <c r="C92" s="51" t="s">
        <v>108</v>
      </c>
      <c r="D92" s="20"/>
      <c r="E92" s="20"/>
      <c r="F92" s="20"/>
      <c r="G92" s="20"/>
      <c r="H92" s="20"/>
      <c r="I92" s="20"/>
      <c r="J92" s="20"/>
      <c r="K92" s="20"/>
      <c r="L92" s="20"/>
    </row>
    <row r="93" spans="1:12">
      <c r="A93" s="51" t="s">
        <v>108</v>
      </c>
      <c r="B93" s="51" t="s">
        <v>108</v>
      </c>
      <c r="C93" s="51" t="s">
        <v>108</v>
      </c>
      <c r="D93" s="20"/>
      <c r="E93" s="20"/>
      <c r="F93" s="20"/>
      <c r="G93" s="20"/>
      <c r="H93" s="20"/>
      <c r="I93" s="20"/>
      <c r="J93" s="20"/>
      <c r="K93" s="20"/>
      <c r="L93" s="20"/>
    </row>
    <row r="94" spans="1:12" ht="21.4" customHeight="1">
      <c r="A94" s="51" t="s">
        <v>109</v>
      </c>
      <c r="B94" s="51" t="s">
        <v>109</v>
      </c>
      <c r="C94" s="51" t="s">
        <v>109</v>
      </c>
      <c r="D94" s="20"/>
      <c r="E94" s="20"/>
      <c r="F94" s="20"/>
      <c r="G94" s="20"/>
      <c r="H94" s="20"/>
      <c r="I94" s="20"/>
      <c r="J94" s="20"/>
      <c r="K94" s="20"/>
      <c r="L94" s="20"/>
    </row>
    <row r="95" spans="1:12">
      <c r="A95" s="51" t="s">
        <v>109</v>
      </c>
      <c r="B95" s="51" t="s">
        <v>109</v>
      </c>
      <c r="C95" s="51" t="s">
        <v>109</v>
      </c>
      <c r="D95" s="20"/>
      <c r="E95" s="20"/>
      <c r="F95" s="20"/>
      <c r="G95" s="20"/>
      <c r="H95" s="20"/>
      <c r="I95" s="20"/>
      <c r="J95" s="20"/>
      <c r="K95" s="20"/>
      <c r="L95" s="20"/>
    </row>
    <row r="96" spans="1:12" ht="21.4" customHeight="1">
      <c r="A96" s="51" t="s">
        <v>110</v>
      </c>
      <c r="B96" s="51" t="s">
        <v>110</v>
      </c>
      <c r="C96" s="51" t="s">
        <v>110</v>
      </c>
      <c r="D96" s="20"/>
      <c r="E96" s="20"/>
      <c r="F96" s="20"/>
      <c r="G96" s="20"/>
      <c r="H96" s="20"/>
      <c r="I96" s="20"/>
      <c r="J96" s="20"/>
      <c r="K96" s="20"/>
      <c r="L96" s="20"/>
    </row>
    <row r="97" spans="1:12">
      <c r="A97" s="51" t="s">
        <v>110</v>
      </c>
      <c r="B97" s="51" t="s">
        <v>110</v>
      </c>
      <c r="C97" s="51" t="s">
        <v>110</v>
      </c>
      <c r="D97" s="20"/>
      <c r="E97" s="20"/>
      <c r="F97" s="20"/>
      <c r="G97" s="20"/>
      <c r="H97" s="20"/>
      <c r="I97" s="20"/>
      <c r="J97" s="20"/>
      <c r="K97" s="20"/>
      <c r="L97" s="20"/>
    </row>
    <row r="98" spans="1:12" ht="21.4" customHeight="1">
      <c r="A98" s="51" t="s">
        <v>111</v>
      </c>
      <c r="B98" s="51" t="s">
        <v>111</v>
      </c>
      <c r="C98" s="51" t="s">
        <v>111</v>
      </c>
      <c r="D98" s="20"/>
      <c r="E98" s="20"/>
      <c r="F98" s="20"/>
      <c r="G98" s="20"/>
      <c r="H98" s="20"/>
      <c r="I98" s="20"/>
      <c r="J98" s="20"/>
      <c r="K98" s="20"/>
      <c r="L98" s="20"/>
    </row>
    <row r="99" spans="1:12">
      <c r="A99" s="51" t="s">
        <v>111</v>
      </c>
      <c r="B99" s="51" t="s">
        <v>111</v>
      </c>
      <c r="C99" s="51" t="s">
        <v>111</v>
      </c>
      <c r="D99" s="20"/>
      <c r="E99" s="20"/>
      <c r="F99" s="20"/>
      <c r="G99" s="20"/>
      <c r="H99" s="20"/>
      <c r="I99" s="20"/>
      <c r="J99" s="20"/>
      <c r="K99" s="20"/>
      <c r="L99" s="20"/>
    </row>
    <row r="101" spans="1:12" ht="14.65" customHeight="1">
      <c r="A101" s="21" t="s">
        <v>112</v>
      </c>
      <c r="B101" s="21" t="s">
        <v>112</v>
      </c>
      <c r="C101" s="21" t="s">
        <v>112</v>
      </c>
      <c r="D101" s="21" t="s">
        <v>112</v>
      </c>
      <c r="E101" s="21" t="s">
        <v>112</v>
      </c>
      <c r="F101" s="21" t="s">
        <v>112</v>
      </c>
      <c r="G101" s="21" t="s">
        <v>112</v>
      </c>
      <c r="H101" s="21" t="s">
        <v>112</v>
      </c>
      <c r="I101" s="21" t="s">
        <v>112</v>
      </c>
      <c r="J101" s="21" t="s">
        <v>112</v>
      </c>
      <c r="K101" s="21" t="s">
        <v>112</v>
      </c>
      <c r="L101" s="21" t="s">
        <v>112</v>
      </c>
    </row>
    <row r="102" spans="1:12" ht="28">
      <c r="A102" s="8" t="s">
        <v>113</v>
      </c>
      <c r="B102" s="8" t="s">
        <v>114</v>
      </c>
      <c r="C102" s="8" t="s">
        <v>76</v>
      </c>
      <c r="D102" s="8" t="s">
        <v>115</v>
      </c>
      <c r="E102" s="8" t="s">
        <v>116</v>
      </c>
      <c r="F102" s="8" t="s">
        <v>93</v>
      </c>
      <c r="G102" s="8" t="s">
        <v>117</v>
      </c>
      <c r="H102" s="8" t="s">
        <v>118</v>
      </c>
    </row>
    <row r="103" spans="1:12" ht="16" customHeight="1">
      <c r="A103" s="1"/>
      <c r="B103" s="1"/>
      <c r="C103" s="1"/>
      <c r="D103" s="5"/>
      <c r="E103" s="5"/>
      <c r="F103" s="1"/>
      <c r="G103" s="6">
        <v>0</v>
      </c>
      <c r="H103" s="1"/>
    </row>
    <row r="104" spans="1:12" ht="16" customHeight="1">
      <c r="A104" s="1"/>
      <c r="B104" s="1"/>
      <c r="C104" s="1"/>
      <c r="D104" s="5"/>
      <c r="E104" s="5"/>
      <c r="F104" s="1"/>
      <c r="G104" s="6">
        <v>0</v>
      </c>
      <c r="H104" s="1"/>
    </row>
    <row r="105" spans="1:12" ht="16" customHeight="1">
      <c r="A105" s="1"/>
      <c r="B105" s="1"/>
      <c r="C105" s="1"/>
      <c r="D105" s="5"/>
      <c r="E105" s="5"/>
      <c r="F105" s="1"/>
      <c r="G105" s="6">
        <v>0</v>
      </c>
      <c r="H105" s="1"/>
    </row>
    <row r="106" spans="1:12" ht="16" customHeight="1">
      <c r="A106" s="1"/>
      <c r="B106" s="1"/>
      <c r="C106" s="1"/>
      <c r="D106" s="5"/>
      <c r="E106" s="5"/>
      <c r="F106" s="1"/>
      <c r="G106" s="6">
        <v>0</v>
      </c>
      <c r="H106" s="1"/>
    </row>
    <row r="107" spans="1:12" ht="16" customHeight="1">
      <c r="A107" s="1"/>
      <c r="B107" s="1"/>
      <c r="C107" s="1"/>
      <c r="D107" s="5"/>
      <c r="E107" s="5"/>
      <c r="F107" s="1"/>
      <c r="G107" s="6">
        <v>0</v>
      </c>
      <c r="H107" s="1"/>
    </row>
    <row r="108" spans="1:12" ht="16" customHeight="1">
      <c r="A108" s="1"/>
      <c r="B108" s="1"/>
      <c r="C108" s="1"/>
      <c r="D108" s="5"/>
      <c r="E108" s="5"/>
      <c r="F108" s="1"/>
      <c r="G108" s="6">
        <v>0</v>
      </c>
      <c r="H108" s="1"/>
    </row>
    <row r="109" spans="1:12" ht="16" customHeight="1">
      <c r="A109" s="1"/>
      <c r="B109" s="1"/>
      <c r="C109" s="1"/>
      <c r="D109" s="5"/>
      <c r="E109" s="5"/>
      <c r="F109" s="1"/>
      <c r="G109" s="6">
        <v>0</v>
      </c>
      <c r="H109" s="1"/>
    </row>
    <row r="110" spans="1:12" ht="16" customHeight="1">
      <c r="A110" s="1"/>
      <c r="B110" s="1"/>
      <c r="C110" s="1"/>
      <c r="D110" s="5"/>
      <c r="E110" s="5"/>
      <c r="F110" s="1"/>
      <c r="G110" s="6">
        <v>0</v>
      </c>
      <c r="H110" s="1"/>
    </row>
    <row r="111" spans="1:12" ht="16" customHeight="1">
      <c r="A111" s="1"/>
      <c r="B111" s="1"/>
      <c r="C111" s="1"/>
      <c r="D111" s="5"/>
      <c r="E111" s="5"/>
      <c r="F111" s="1"/>
      <c r="G111" s="6">
        <v>0</v>
      </c>
      <c r="H111" s="1"/>
    </row>
    <row r="112" spans="1:12" ht="16" customHeight="1">
      <c r="A112" s="1"/>
      <c r="B112" s="1"/>
      <c r="C112" s="1"/>
      <c r="D112" s="5"/>
      <c r="E112" s="5"/>
      <c r="F112" s="1"/>
      <c r="G112" s="6">
        <v>0</v>
      </c>
      <c r="H112" s="1"/>
    </row>
    <row r="113" spans="1:12" ht="16" customHeight="1">
      <c r="A113" s="1"/>
      <c r="B113" s="1"/>
      <c r="C113" s="1"/>
      <c r="D113" s="5"/>
      <c r="E113" s="5"/>
      <c r="F113" s="1"/>
      <c r="G113" s="6">
        <v>0</v>
      </c>
      <c r="H113" s="1"/>
    </row>
    <row r="114" spans="1:12" ht="16" customHeight="1">
      <c r="A114" s="1"/>
      <c r="B114" s="1"/>
      <c r="C114" s="1"/>
      <c r="D114" s="5"/>
      <c r="E114" s="5"/>
      <c r="F114" s="1"/>
      <c r="G114" s="6">
        <v>0</v>
      </c>
      <c r="H114" s="1"/>
    </row>
    <row r="116" spans="1:12" ht="14.65" customHeight="1">
      <c r="A116" s="21" t="s">
        <v>119</v>
      </c>
      <c r="B116" s="21" t="s">
        <v>119</v>
      </c>
      <c r="C116" s="21" t="s">
        <v>119</v>
      </c>
      <c r="D116" s="21" t="s">
        <v>119</v>
      </c>
      <c r="E116" s="21" t="s">
        <v>119</v>
      </c>
      <c r="F116" s="21" t="s">
        <v>119</v>
      </c>
      <c r="G116" s="21" t="s">
        <v>119</v>
      </c>
      <c r="H116" s="21" t="s">
        <v>119</v>
      </c>
      <c r="I116" s="21" t="s">
        <v>119</v>
      </c>
      <c r="J116" s="21" t="s">
        <v>119</v>
      </c>
      <c r="K116" s="21" t="s">
        <v>119</v>
      </c>
      <c r="L116" s="21" t="s">
        <v>119</v>
      </c>
    </row>
    <row r="117" spans="1:12" ht="28">
      <c r="A117" s="8" t="s">
        <v>120</v>
      </c>
      <c r="B117" s="8" t="s">
        <v>121</v>
      </c>
      <c r="C117" s="8" t="s">
        <v>122</v>
      </c>
      <c r="D117" s="8" t="s">
        <v>76</v>
      </c>
      <c r="E117" s="8" t="s">
        <v>123</v>
      </c>
      <c r="G117" s="22" t="s">
        <v>124</v>
      </c>
      <c r="H117" s="22" t="s">
        <v>124</v>
      </c>
      <c r="I117" s="22" t="s">
        <v>124</v>
      </c>
      <c r="J117" s="22" t="s">
        <v>124</v>
      </c>
      <c r="K117" s="22" t="s">
        <v>124</v>
      </c>
      <c r="L117" s="22" t="s">
        <v>124</v>
      </c>
    </row>
    <row r="118" spans="1:12" ht="16" customHeight="1">
      <c r="A118" s="5"/>
      <c r="B118" s="1"/>
      <c r="C118" s="1"/>
      <c r="D118" s="1"/>
      <c r="E118" s="1"/>
      <c r="G118" s="22" t="s">
        <v>124</v>
      </c>
      <c r="H118" s="22" t="s">
        <v>124</v>
      </c>
      <c r="I118" s="22" t="s">
        <v>124</v>
      </c>
      <c r="J118" s="22" t="s">
        <v>124</v>
      </c>
      <c r="K118" s="22" t="s">
        <v>124</v>
      </c>
      <c r="L118" s="22" t="s">
        <v>124</v>
      </c>
    </row>
    <row r="119" spans="1:12" ht="16" customHeight="1">
      <c r="A119" s="5"/>
      <c r="B119" s="1"/>
      <c r="C119" s="1"/>
      <c r="D119" s="1"/>
      <c r="E119" s="1"/>
      <c r="G119" s="22" t="s">
        <v>124</v>
      </c>
      <c r="H119" s="22" t="s">
        <v>124</v>
      </c>
      <c r="I119" s="22" t="s">
        <v>124</v>
      </c>
      <c r="J119" s="22" t="s">
        <v>124</v>
      </c>
      <c r="K119" s="22" t="s">
        <v>124</v>
      </c>
      <c r="L119" s="22" t="s">
        <v>124</v>
      </c>
    </row>
    <row r="120" spans="1:12" ht="16" customHeight="1">
      <c r="A120" s="5"/>
      <c r="B120" s="1"/>
      <c r="C120" s="1"/>
      <c r="D120" s="1"/>
      <c r="E120" s="1"/>
      <c r="G120" s="22" t="s">
        <v>124</v>
      </c>
      <c r="H120" s="22" t="s">
        <v>124</v>
      </c>
      <c r="I120" s="22" t="s">
        <v>124</v>
      </c>
      <c r="J120" s="22" t="s">
        <v>124</v>
      </c>
      <c r="K120" s="22" t="s">
        <v>124</v>
      </c>
      <c r="L120" s="22" t="s">
        <v>124</v>
      </c>
    </row>
    <row r="121" spans="1:12" ht="16" customHeight="1">
      <c r="A121" s="5"/>
      <c r="B121" s="1"/>
      <c r="C121" s="1"/>
      <c r="D121" s="1"/>
      <c r="E121" s="1"/>
      <c r="G121" s="22" t="s">
        <v>124</v>
      </c>
      <c r="H121" s="22" t="s">
        <v>124</v>
      </c>
      <c r="I121" s="22" t="s">
        <v>124</v>
      </c>
      <c r="J121" s="22" t="s">
        <v>124</v>
      </c>
      <c r="K121" s="22" t="s">
        <v>124</v>
      </c>
      <c r="L121" s="22" t="s">
        <v>124</v>
      </c>
    </row>
    <row r="122" spans="1:12" ht="16" customHeight="1">
      <c r="A122" s="5"/>
      <c r="B122" s="1"/>
      <c r="C122" s="1"/>
      <c r="D122" s="1"/>
      <c r="E122" s="1"/>
      <c r="G122" s="22" t="s">
        <v>124</v>
      </c>
      <c r="H122" s="22" t="s">
        <v>124</v>
      </c>
      <c r="I122" s="22" t="s">
        <v>124</v>
      </c>
      <c r="J122" s="22" t="s">
        <v>124</v>
      </c>
      <c r="K122" s="22" t="s">
        <v>124</v>
      </c>
      <c r="L122" s="22" t="s">
        <v>124</v>
      </c>
    </row>
    <row r="123" spans="1:12" ht="16" customHeight="1">
      <c r="A123" s="5"/>
      <c r="B123" s="1"/>
      <c r="C123" s="1"/>
      <c r="D123" s="1"/>
      <c r="E123" s="1"/>
      <c r="G123" s="22" t="s">
        <v>124</v>
      </c>
      <c r="H123" s="22" t="s">
        <v>124</v>
      </c>
      <c r="I123" s="22" t="s">
        <v>124</v>
      </c>
      <c r="J123" s="22" t="s">
        <v>124</v>
      </c>
      <c r="K123" s="22" t="s">
        <v>124</v>
      </c>
      <c r="L123" s="22" t="s">
        <v>124</v>
      </c>
    </row>
    <row r="125" spans="1:12">
      <c r="A125" s="15" t="s">
        <v>125</v>
      </c>
      <c r="B125" s="15" t="s">
        <v>125</v>
      </c>
      <c r="C125" s="15" t="s">
        <v>125</v>
      </c>
      <c r="D125" s="15" t="s">
        <v>125</v>
      </c>
      <c r="E125" s="15" t="s">
        <v>125</v>
      </c>
      <c r="F125" s="15" t="s">
        <v>125</v>
      </c>
      <c r="G125" s="15" t="s">
        <v>125</v>
      </c>
      <c r="H125" s="15" t="s">
        <v>125</v>
      </c>
      <c r="I125" s="15" t="s">
        <v>125</v>
      </c>
      <c r="J125" s="15" t="s">
        <v>125</v>
      </c>
      <c r="K125" s="15" t="s">
        <v>125</v>
      </c>
      <c r="L125" s="15" t="s">
        <v>125</v>
      </c>
    </row>
    <row r="126" spans="1:12">
      <c r="A126" s="15" t="s">
        <v>125</v>
      </c>
      <c r="B126" s="15" t="s">
        <v>125</v>
      </c>
      <c r="C126" s="15" t="s">
        <v>125</v>
      </c>
      <c r="D126" s="15" t="s">
        <v>125</v>
      </c>
      <c r="E126" s="15" t="s">
        <v>125</v>
      </c>
      <c r="F126" s="15" t="s">
        <v>125</v>
      </c>
      <c r="G126" s="15" t="s">
        <v>125</v>
      </c>
      <c r="H126" s="15" t="s">
        <v>125</v>
      </c>
      <c r="I126" s="15" t="s">
        <v>125</v>
      </c>
      <c r="J126" s="15" t="s">
        <v>125</v>
      </c>
      <c r="K126" s="15" t="s">
        <v>125</v>
      </c>
      <c r="L126" s="15" t="s">
        <v>125</v>
      </c>
    </row>
  </sheetData>
  <mergeCells count="104">
    <mergeCell ref="J5:L5"/>
    <mergeCell ref="J6:L6"/>
    <mergeCell ref="J7:L7"/>
    <mergeCell ref="J8:L8"/>
    <mergeCell ref="J9:L9"/>
    <mergeCell ref="J10:L10"/>
    <mergeCell ref="A1:C3"/>
    <mergeCell ref="D1:I1"/>
    <mergeCell ref="D2:I2"/>
    <mergeCell ref="D3:I3"/>
    <mergeCell ref="J1:L1"/>
    <mergeCell ref="J2:L2"/>
    <mergeCell ref="J3:L3"/>
    <mergeCell ref="A12:L12"/>
    <mergeCell ref="A13:C14"/>
    <mergeCell ref="D13:L14"/>
    <mergeCell ref="A15:C16"/>
    <mergeCell ref="D15:L16"/>
    <mergeCell ref="G7:I7"/>
    <mergeCell ref="G8:I8"/>
    <mergeCell ref="G9:I9"/>
    <mergeCell ref="G10:I10"/>
    <mergeCell ref="A23:C24"/>
    <mergeCell ref="D23:L24"/>
    <mergeCell ref="A26:L26"/>
    <mergeCell ref="A27:C28"/>
    <mergeCell ref="D27:L28"/>
    <mergeCell ref="A17:C18"/>
    <mergeCell ref="D17:L18"/>
    <mergeCell ref="A19:C20"/>
    <mergeCell ref="D19:L20"/>
    <mergeCell ref="A21:C22"/>
    <mergeCell ref="D21:L22"/>
    <mergeCell ref="A35:C36"/>
    <mergeCell ref="D35:L36"/>
    <mergeCell ref="A37:C38"/>
    <mergeCell ref="D37:L38"/>
    <mergeCell ref="A39:C40"/>
    <mergeCell ref="D39:L40"/>
    <mergeCell ref="A29:C30"/>
    <mergeCell ref="D29:L30"/>
    <mergeCell ref="A31:C32"/>
    <mergeCell ref="D31:L32"/>
    <mergeCell ref="A33:C34"/>
    <mergeCell ref="D33:L34"/>
    <mergeCell ref="A42:L42"/>
    <mergeCell ref="J43:L44"/>
    <mergeCell ref="A53:L53"/>
    <mergeCell ref="A65:L65"/>
    <mergeCell ref="A66:C67"/>
    <mergeCell ref="D66:L67"/>
    <mergeCell ref="J45:K45"/>
    <mergeCell ref="J46:K46"/>
    <mergeCell ref="J47:K47"/>
    <mergeCell ref="J48:K48"/>
    <mergeCell ref="A74:C75"/>
    <mergeCell ref="D74:L75"/>
    <mergeCell ref="A77:L77"/>
    <mergeCell ref="A78:C79"/>
    <mergeCell ref="D78:L79"/>
    <mergeCell ref="A68:C69"/>
    <mergeCell ref="D68:L69"/>
    <mergeCell ref="A70:C71"/>
    <mergeCell ref="D70:L71"/>
    <mergeCell ref="A72:C73"/>
    <mergeCell ref="D72:L73"/>
    <mergeCell ref="D94:L95"/>
    <mergeCell ref="A96:C97"/>
    <mergeCell ref="D96:L97"/>
    <mergeCell ref="A86:C87"/>
    <mergeCell ref="D86:L87"/>
    <mergeCell ref="A89:L89"/>
    <mergeCell ref="A90:C91"/>
    <mergeCell ref="D90:L91"/>
    <mergeCell ref="A80:C81"/>
    <mergeCell ref="D80:L81"/>
    <mergeCell ref="A82:C83"/>
    <mergeCell ref="D82:L83"/>
    <mergeCell ref="A84:C85"/>
    <mergeCell ref="D84:L85"/>
    <mergeCell ref="A125:L126"/>
    <mergeCell ref="A4:L4"/>
    <mergeCell ref="A5:C5"/>
    <mergeCell ref="A6:C6"/>
    <mergeCell ref="A7:C7"/>
    <mergeCell ref="A8:C8"/>
    <mergeCell ref="A9:C9"/>
    <mergeCell ref="A10:C10"/>
    <mergeCell ref="D5:F5"/>
    <mergeCell ref="D6:F6"/>
    <mergeCell ref="D7:F7"/>
    <mergeCell ref="D9:F9"/>
    <mergeCell ref="D10:F10"/>
    <mergeCell ref="D8:F8"/>
    <mergeCell ref="G5:I5"/>
    <mergeCell ref="G6:I6"/>
    <mergeCell ref="A98:C99"/>
    <mergeCell ref="D98:L99"/>
    <mergeCell ref="A101:L101"/>
    <mergeCell ref="A116:L116"/>
    <mergeCell ref="G117:L123"/>
    <mergeCell ref="A92:C93"/>
    <mergeCell ref="D92:L93"/>
    <mergeCell ref="A94:C95"/>
  </mergeCells>
  <conditionalFormatting sqref="F103:F114">
    <cfRule type="expression" dxfId="2" priority="2">
      <formula>F103="Cerrado"</formula>
    </cfRule>
    <cfRule type="expression" dxfId="1" priority="3">
      <formula>F103="En curso"</formula>
    </cfRule>
    <cfRule type="expression" dxfId="0" priority="4">
      <formula>F103="Suspendido"</formula>
    </cfRule>
  </conditionalFormatting>
  <conditionalFormatting sqref="G103:G114">
    <cfRule type="dataBar" priority="1">
      <dataBar>
        <cfvo type="min"/>
        <cfvo type="max"/>
        <color rgb="FF003494"/>
      </dataBar>
    </cfRule>
    <cfRule type="dataBar" priority="6">
      <dataBar>
        <cfvo type="min"/>
        <cfvo type="max"/>
        <color rgb="FF003494"/>
      </dataBar>
      <extLst>
        <ext xmlns:x14="http://schemas.microsoft.com/office/spreadsheetml/2009/9/main" uri="{B025F937-C7B1-47D3-B67F-A62EFF666E3E}">
          <x14:id>{D11A65F8-871E-ED82-1C28-E3A0CB80B0CF}</x14:id>
        </ext>
      </extLst>
    </cfRule>
  </conditionalFormatting>
  <conditionalFormatting sqref="L45:L48">
    <cfRule type="dataBar" priority="5">
      <dataBar>
        <cfvo type="min"/>
        <cfvo type="max"/>
        <color rgb="FF00249C"/>
      </dataBar>
    </cfRule>
    <cfRule type="dataBar" priority="7">
      <dataBar>
        <cfvo type="min"/>
        <cfvo type="max"/>
        <color rgb="FF00249C"/>
      </dataBar>
      <extLst>
        <ext xmlns:x14="http://schemas.microsoft.com/office/spreadsheetml/2009/9/main" uri="{B025F937-C7B1-47D3-B67F-A62EFF666E3E}">
          <x14:id>{176CF849-08AE-3D6B-E5EB-1D841D11E636}</x14:id>
        </ext>
      </extLst>
    </cfRule>
  </conditionalFormatting>
  <pageMargins left="0.7" right="0.7" top="0.75" bottom="0.75" header="0.3" footer="0.3"/>
  <pageSetup paperSize="9" orientation="portrait" r:id="rId1"/>
  <drawing r:id="rId2"/>
  <tableParts count="4">
    <tablePart r:id="rId3"/>
    <tablePart r:id="rId4"/>
    <tablePart r:id="rId5"/>
    <tablePart r:id="rId6"/>
  </tableParts>
  <extLst>
    <ext xmlns:x14="http://schemas.microsoft.com/office/spreadsheetml/2009/9/main" uri="{78C0D931-6437-407d-A8EE-F0AAD7539E65}">
      <x14:conditionalFormattings>
        <x14:conditionalFormatting xmlns:xm="http://schemas.microsoft.com/office/excel/2006/main">
          <x14:cfRule type="dataBar" id="{D11A65F8-871E-ED82-1C28-E3A0CB80B0CF}">
            <x14:dataBar>
              <x14:cfvo type="min"/>
              <x14:cfvo type="max"/>
              <x14:negativeFillColor auto="1"/>
              <x14:axisColor auto="1"/>
            </x14:dataBar>
          </x14:cfRule>
          <xm:sqref>G103:G114</xm:sqref>
        </x14:conditionalFormatting>
        <x14:conditionalFormatting xmlns:xm="http://schemas.microsoft.com/office/excel/2006/main">
          <x14:cfRule type="dataBar" id="{176CF849-08AE-3D6B-E5EB-1D841D11E636}">
            <x14:dataBar>
              <x14:cfvo type="min"/>
              <x14:cfvo type="max"/>
              <x14:negativeFillColor auto="1"/>
              <x14:axisColor auto="1"/>
            </x14:dataBar>
          </x14:cfRule>
          <xm:sqref>L45:L48</xm:sqref>
        </x14:conditionalFormatting>
      </x14:conditionalFormattings>
    </ext>
    <ext xmlns:x14="http://schemas.microsoft.com/office/spreadsheetml/2009/9/main" uri="{CCE6A557-97BC-4b89-ADB6-D9C93CAAB3DF}">
      <x14:dataValidations xmlns:xm="http://schemas.microsoft.com/office/excel/2006/main" count="9">
        <x14:dataValidation type="list" xr:uid="{00000000-0002-0000-0100-000000000000}">
          <x14:formula1>
            <xm:f>LISTAS_DESPLEGABLES!$C$2:$C$6</xm:f>
          </x14:formula1>
          <xm:sqref>J6</xm:sqref>
        </x14:dataValidation>
        <x14:dataValidation type="list" xr:uid="{00000000-0002-0000-0100-000001000000}">
          <x14:formula1>
            <xm:f>LISTAS_DESPLEGABLES!$A$2:$A$5</xm:f>
          </x14:formula1>
          <xm:sqref>J8</xm:sqref>
        </x14:dataValidation>
        <x14:dataValidation type="list" xr:uid="{00000000-0002-0000-0100-000002000000}">
          <x14:formula1>
            <xm:f>LISTAS_DESPLEGABLES!$B$2:$B$4</xm:f>
          </x14:formula1>
          <xm:sqref>D9</xm:sqref>
        </x14:dataValidation>
        <x14:dataValidation type="list" xr:uid="{00000000-0002-0000-0100-000003000000}">
          <x14:formula1>
            <xm:f>LISTAS_DESPLEGABLES!$D$2:$D$5</xm:f>
          </x14:formula1>
          <xm:sqref>J9</xm:sqref>
        </x14:dataValidation>
        <x14:dataValidation type="list" xr:uid="{00000000-0002-0000-0100-000004000000}">
          <x14:formula1>
            <xm:f>LISTAS_DESPLEGABLES!$E$2:$E$8</xm:f>
          </x14:formula1>
          <xm:sqref>D10</xm:sqref>
        </x14:dataValidation>
        <x14:dataValidation type="list" xr:uid="{00000000-0002-0000-0100-000005000000}">
          <x14:formula1>
            <xm:f>LISTAS_DESPLEGABLES!$G$2:$G$5</xm:f>
          </x14:formula1>
          <xm:sqref>F44:F51</xm:sqref>
        </x14:dataValidation>
        <x14:dataValidation type="list" xr:uid="{00000000-0002-0000-0100-000006000000}">
          <x14:formula1>
            <xm:f>LISTAS_DESPLEGABLES!$I$2:$I$5</xm:f>
          </x14:formula1>
          <xm:sqref>G55:G63</xm:sqref>
        </x14:dataValidation>
        <x14:dataValidation type="list" xr:uid="{00000000-0002-0000-0100-000007000000}">
          <x14:formula1>
            <xm:f>LISTAS_DESPLEGABLES!$F$2:$F$7</xm:f>
          </x14:formula1>
          <xm:sqref>B103:B114</xm:sqref>
        </x14:dataValidation>
        <x14:dataValidation type="list" xr:uid="{00000000-0002-0000-0100-000008000000}">
          <x14:formula1>
            <xm:f>LISTAS_DESPLEGABLES!$H$2:$H$6</xm:f>
          </x14:formula1>
          <xm:sqref>F103:F114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CF597-9393-4C28-A32C-8AA418FA531E}">
  <dimension ref="D8:D15"/>
  <sheetViews>
    <sheetView workbookViewId="0">
      <selection activeCell="D6" sqref="D6:D16"/>
    </sheetView>
  </sheetViews>
  <sheetFormatPr baseColWidth="10" defaultRowHeight="14"/>
  <sheetData>
    <row r="8" spans="4:4">
      <c r="D8" t="s">
        <v>219</v>
      </c>
    </row>
    <row r="9" spans="4:4">
      <c r="D9" t="s">
        <v>220</v>
      </c>
    </row>
    <row r="10" spans="4:4">
      <c r="D10" t="s">
        <v>221</v>
      </c>
    </row>
    <row r="11" spans="4:4">
      <c r="D11" t="s">
        <v>222</v>
      </c>
    </row>
    <row r="12" spans="4:4">
      <c r="D12" t="s">
        <v>223</v>
      </c>
    </row>
    <row r="13" spans="4:4">
      <c r="D13" t="s">
        <v>224</v>
      </c>
    </row>
    <row r="14" spans="4:4">
      <c r="D14" t="s">
        <v>225</v>
      </c>
    </row>
    <row r="15" spans="4:4">
      <c r="D15" t="s">
        <v>226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8"/>
  <sheetViews>
    <sheetView workbookViewId="0">
      <selection activeCell="F9" sqref="F9"/>
    </sheetView>
  </sheetViews>
  <sheetFormatPr baseColWidth="10" defaultColWidth="8.6640625" defaultRowHeight="14"/>
  <cols>
    <col min="1" max="1" width="13.5" bestFit="1" customWidth="1"/>
    <col min="2" max="2" width="8.4140625" bestFit="1" customWidth="1"/>
    <col min="3" max="3" width="21.4140625" bestFit="1" customWidth="1"/>
    <col min="4" max="4" width="14.83203125" bestFit="1" customWidth="1"/>
    <col min="5" max="5" width="11.25" bestFit="1" customWidth="1"/>
    <col min="6" max="6" width="21.9140625" bestFit="1" customWidth="1"/>
    <col min="7" max="7" width="14.33203125" bestFit="1" customWidth="1"/>
    <col min="8" max="8" width="14.9140625" bestFit="1" customWidth="1"/>
    <col min="9" max="9" width="17.4140625" bestFit="1" customWidth="1"/>
  </cols>
  <sheetData>
    <row r="1" spans="1:9">
      <c r="A1" s="2" t="s">
        <v>56</v>
      </c>
      <c r="B1" s="2" t="s">
        <v>36</v>
      </c>
      <c r="C1" s="2" t="s">
        <v>52</v>
      </c>
      <c r="D1" s="2" t="s">
        <v>38</v>
      </c>
      <c r="E1" s="2" t="s">
        <v>57</v>
      </c>
      <c r="F1" s="2" t="s">
        <v>114</v>
      </c>
      <c r="G1" s="2" t="s">
        <v>126</v>
      </c>
      <c r="H1" s="2" t="s">
        <v>127</v>
      </c>
      <c r="I1" s="2" t="s">
        <v>128</v>
      </c>
    </row>
    <row r="2" spans="1:9">
      <c r="A2" s="7" t="s">
        <v>129</v>
      </c>
      <c r="B2" s="7" t="s">
        <v>130</v>
      </c>
      <c r="C2" s="7" t="s">
        <v>131</v>
      </c>
      <c r="D2" s="7" t="s">
        <v>132</v>
      </c>
      <c r="E2" s="7" t="s">
        <v>133</v>
      </c>
      <c r="F2" s="7" t="s">
        <v>134</v>
      </c>
      <c r="G2" s="7" t="s">
        <v>130</v>
      </c>
      <c r="H2" s="7" t="s">
        <v>129</v>
      </c>
      <c r="I2" s="7" t="s">
        <v>129</v>
      </c>
    </row>
    <row r="3" spans="1:9">
      <c r="A3" s="7" t="s">
        <v>135</v>
      </c>
      <c r="B3" s="7" t="s">
        <v>136</v>
      </c>
      <c r="C3" s="7" t="s">
        <v>137</v>
      </c>
      <c r="D3" s="7" t="s">
        <v>138</v>
      </c>
      <c r="E3" s="7" t="s">
        <v>139</v>
      </c>
      <c r="F3" s="7" t="s">
        <v>140</v>
      </c>
      <c r="G3" s="7" t="s">
        <v>136</v>
      </c>
      <c r="H3" s="7" t="s">
        <v>135</v>
      </c>
      <c r="I3" s="7" t="s">
        <v>135</v>
      </c>
    </row>
    <row r="4" spans="1:9">
      <c r="A4" s="7" t="s">
        <v>141</v>
      </c>
      <c r="B4" s="7" t="s">
        <v>142</v>
      </c>
      <c r="C4" s="7" t="s">
        <v>143</v>
      </c>
      <c r="D4" s="7" t="s">
        <v>144</v>
      </c>
      <c r="E4" s="7" t="s">
        <v>145</v>
      </c>
      <c r="F4" s="7" t="s">
        <v>146</v>
      </c>
      <c r="G4" s="7" t="s">
        <v>142</v>
      </c>
      <c r="H4" s="7" t="s">
        <v>141</v>
      </c>
      <c r="I4" s="7" t="s">
        <v>147</v>
      </c>
    </row>
    <row r="5" spans="1:9">
      <c r="A5" s="7" t="s">
        <v>148</v>
      </c>
      <c r="B5" s="7"/>
      <c r="C5" s="7" t="s">
        <v>149</v>
      </c>
      <c r="D5" s="7" t="s">
        <v>150</v>
      </c>
      <c r="E5" s="7" t="s">
        <v>151</v>
      </c>
      <c r="F5" s="7" t="s">
        <v>152</v>
      </c>
      <c r="G5" s="7" t="s">
        <v>153</v>
      </c>
      <c r="H5" s="7" t="s">
        <v>148</v>
      </c>
      <c r="I5" s="7" t="s">
        <v>154</v>
      </c>
    </row>
    <row r="6" spans="1:9">
      <c r="A6" s="7"/>
      <c r="B6" s="7"/>
      <c r="C6" s="7" t="s">
        <v>155</v>
      </c>
      <c r="D6" s="7"/>
      <c r="E6" s="7" t="s">
        <v>156</v>
      </c>
      <c r="F6" s="7" t="s">
        <v>157</v>
      </c>
      <c r="G6" s="7"/>
      <c r="H6" s="7" t="s">
        <v>158</v>
      </c>
      <c r="I6" s="7"/>
    </row>
    <row r="7" spans="1:9">
      <c r="A7" s="7"/>
      <c r="B7" s="7"/>
      <c r="C7" s="7"/>
      <c r="D7" s="7"/>
      <c r="E7" s="7" t="s">
        <v>159</v>
      </c>
      <c r="F7" s="7" t="s">
        <v>160</v>
      </c>
      <c r="G7" s="7"/>
      <c r="H7" s="7"/>
      <c r="I7" s="7"/>
    </row>
    <row r="8" spans="1:9">
      <c r="A8" s="7"/>
      <c r="B8" s="7"/>
      <c r="C8" s="7"/>
      <c r="D8" s="7"/>
      <c r="E8" s="7" t="s">
        <v>161</v>
      </c>
      <c r="F8" s="7"/>
      <c r="G8" s="7"/>
      <c r="H8" s="7"/>
      <c r="I8"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4AB101AE169AB40B2A756BEB726A6B3" ma:contentTypeVersion="11" ma:contentTypeDescription="Crear nuevo documento." ma:contentTypeScope="" ma:versionID="b787aa9135b83b62f2e72efa4c73041b">
  <xsd:schema xmlns:xsd="http://www.w3.org/2001/XMLSchema" xmlns:xs="http://www.w3.org/2001/XMLSchema" xmlns:p="http://schemas.microsoft.com/office/2006/metadata/properties" xmlns:ns2="9946334e-8294-4fb2-ab4a-473e0c1039f3" xmlns:ns3="f48b9041-2153-4606-9336-6b6646faa50d" targetNamespace="http://schemas.microsoft.com/office/2006/metadata/properties" ma:root="true" ma:fieldsID="7cbf44358e2db7b77dec0b057fc92843" ns2:_="" ns3:_="">
    <xsd:import namespace="9946334e-8294-4fb2-ab4a-473e0c1039f3"/>
    <xsd:import namespace="f48b9041-2153-4606-9336-6b6646faa5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46334e-8294-4fb2-ab4a-473e0c1039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8ac5fa51-a383-4c6c-9a0d-de86926be39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8b9041-2153-4606-9336-6b6646faa50d"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8b6cb4e-e364-4e76-ad3b-3bf270399f9a}" ma:internalName="TaxCatchAll" ma:showField="CatchAllData" ma:web="f48b9041-2153-4606-9336-6b6646faa5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946334e-8294-4fb2-ab4a-473e0c1039f3">
      <Terms xmlns="http://schemas.microsoft.com/office/infopath/2007/PartnerControls"/>
    </lcf76f155ced4ddcb4097134ff3c332f>
    <TaxCatchAll xmlns="f48b9041-2153-4606-9336-6b6646faa50d" xsi:nil="true"/>
  </documentManagement>
</p:properties>
</file>

<file path=customXml/itemProps1.xml><?xml version="1.0" encoding="utf-8"?>
<ds:datastoreItem xmlns:ds="http://schemas.openxmlformats.org/officeDocument/2006/customXml" ds:itemID="{7B72AF8B-FD60-4418-8EF4-57B0C9F95C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46334e-8294-4fb2-ab4a-473e0c1039f3"/>
    <ds:schemaRef ds:uri="f48b9041-2153-4606-9336-6b6646faa50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8447F3-147C-439D-829B-0C14C26E8670}">
  <ds:schemaRefs>
    <ds:schemaRef ds:uri="http://schemas.microsoft.com/sharepoint/v3/contenttype/forms"/>
  </ds:schemaRefs>
</ds:datastoreItem>
</file>

<file path=customXml/itemProps3.xml><?xml version="1.0" encoding="utf-8"?>
<ds:datastoreItem xmlns:ds="http://schemas.openxmlformats.org/officeDocument/2006/customXml" ds:itemID="{598E73BC-D8EC-480B-AB90-A234C0AF85E1}">
  <ds:schemaRefs>
    <ds:schemaRef ds:uri="http://schemas.microsoft.com/office/2006/metadata/properties"/>
    <ds:schemaRef ds:uri="http://schemas.microsoft.com/office/infopath/2007/PartnerControls"/>
    <ds:schemaRef ds:uri="9946334e-8294-4fb2-ab4a-473e0c1039f3"/>
    <ds:schemaRef ds:uri="f48b9041-2153-4606-9336-6b6646faa50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INSTRUCTIVO</vt:lpstr>
      <vt:lpstr>FORMATO CRISP-DM</vt:lpstr>
      <vt:lpstr>Hoja1</vt:lpstr>
      <vt:lpstr>LISTAS_DESPLEGABLES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Edwin Harvey Clavijo Lopez</cp:lastModifiedBy>
  <dcterms:modified xsi:type="dcterms:W3CDTF">2026-05-28T12:59:22Z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0x01010034AB101AE169AB40B2A756BEB726A6B3</vt:lpwstr>
  </property>
  <property fmtid="{D5CDD505-2E9C-101B-9397-08002B2CF9AE}" pid="3" name="MediaServiceImageTags">
    <vt:lpwstr/>
  </property>
</Properties>
</file>