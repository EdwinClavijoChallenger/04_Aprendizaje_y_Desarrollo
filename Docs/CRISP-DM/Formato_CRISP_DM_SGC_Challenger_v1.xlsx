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lemcosas.sharepoint.com/sites/TalentoHumanoGrupoLemco/Documentos compartidos/5. People analytics/04_Aprendizaje_y_Desarrollo/Docs/CRISP-DM/"/>
    </mc:Choice>
  </mc:AlternateContent>
  <xr:revisionPtr revIDLastSave="97" documentId="13_ncr:1_{33C77232-DDFF-407B-80A9-FD455E035617}" xr6:coauthVersionLast="47" xr6:coauthVersionMax="47" xr10:uidLastSave="{82FB2746-9722-4B55-9855-BA0C42A8A778}"/>
  <bookViews>
    <workbookView xWindow="-110" yWindow="-110" windowWidth="19420" windowHeight="10420" activeTab="1" xr2:uid="{00000000-000D-0000-FFFF-FFFF00000000}"/>
  </bookViews>
  <sheets>
    <sheet name="INSTRUCTIVO" sheetId="1" r:id="rId1"/>
    <sheet name="FORMATO CRISP-DM" sheetId="2" r:id="rId2"/>
    <sheet name="LISTAS_DESPLEGABLE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8" i="2" l="1"/>
  <c r="L47" i="2"/>
  <c r="L46" i="2"/>
  <c r="L45" i="2"/>
</calcChain>
</file>

<file path=xl/sharedStrings.xml><?xml version="1.0" encoding="utf-8"?>
<sst xmlns="http://schemas.openxmlformats.org/spreadsheetml/2006/main" count="768" uniqueCount="206">
  <si>
    <t>DESARROLLO Y CALIDAD DE VIDA</t>
  </si>
  <si>
    <t>Código: GHD-FR-XX</t>
  </si>
  <si>
    <t>FORMATO</t>
  </si>
  <si>
    <t>Versión: 01</t>
  </si>
  <si>
    <t>GESTIÓN DE PROYECTOS ANALÍTICOS - CRISP-DM</t>
  </si>
  <si>
    <t>Fecha: 2026-05-26</t>
  </si>
  <si>
    <t>INSTRUCTIVO DE DILIGENCIAMIENTO</t>
  </si>
  <si>
    <t>Objetivo del formato</t>
  </si>
  <si>
    <t>Documentar proyectos analíticos de forma ordenada, trazable y alineada al Sistema de Gestión de la Calidad, desde la necesidad del negocio hasta el despliegue del entregable.</t>
  </si>
  <si>
    <t>Alcance</t>
  </si>
  <si>
    <t>Aplica para proyectos de dashboard, reporting, automatización, analítica descriptiva, diagnóstica o predictiva de cualquier negocio del Grupo LEMCO. Inicialmente se presenta con estilo y lineamientos de Challenger.</t>
  </si>
  <si>
    <t>ESTRUCTURA DEL ARCHIVO</t>
  </si>
  <si>
    <t>Hoja</t>
  </si>
  <si>
    <t>Uso</t>
  </si>
  <si>
    <t>INSTRUCTIVO</t>
  </si>
  <si>
    <t>FORMATO CRISP-DM</t>
  </si>
  <si>
    <t>LISTAS DESPLEGABLES</t>
  </si>
  <si>
    <t>PASOS DE DILIGENCIAMIENTO</t>
  </si>
  <si>
    <t>GUÍA POR FASE CRISP-DM</t>
  </si>
  <si>
    <t>Fase</t>
  </si>
  <si>
    <t>Qué se documenta</t>
  </si>
  <si>
    <t>1. Comprensión del negocio</t>
  </si>
  <si>
    <t>Brief del proyecto, alcance definido, preguntas analíticas y criterios de éxito validados.</t>
  </si>
  <si>
    <t>2. Comprensión de los datos</t>
  </si>
  <si>
    <t>Inventario de fuentes, diagnóstico inicial de calidad y mapa de riesgos de datos.</t>
  </si>
  <si>
    <t>3. Preparación de los datos</t>
  </si>
  <si>
    <t>Reglas de cálculo, trazabilidad de campos y base analítica preparada.</t>
  </si>
  <si>
    <t>4. Modelado / análisis</t>
  </si>
  <si>
    <t>Mockup, modelo analítico, medidas, visualizaciones o algoritmo documentado.</t>
  </si>
  <si>
    <t>5. Evaluación</t>
  </si>
  <si>
    <t>Acta de validación, recomendaciones y aprobación para despliegue.</t>
  </si>
  <si>
    <t>6. Despliegue</t>
  </si>
  <si>
    <t>Dashboard / informe publicado, instructivo operativo y plan de mejora continua.</t>
  </si>
  <si>
    <t>CONVENCIONES Y RECOMENDACIONES</t>
  </si>
  <si>
    <t>Estados sugeridos</t>
  </si>
  <si>
    <t>Pendiente, En curso, En validación, Cerrado, Suspendido.</t>
  </si>
  <si>
    <t>Prioridad</t>
  </si>
  <si>
    <t>Alta, Media o Baja según impacto, urgencia y dependencia del negocio.</t>
  </si>
  <si>
    <t>Confidencialidad</t>
  </si>
  <si>
    <t>Usar la clasificación del dato: Pública interna, Uso interno, Confidencial o Restringida.</t>
  </si>
  <si>
    <t>Buenas prácticas</t>
  </si>
  <si>
    <t>Registrar decisiones, fuentes oficiales, responsables y fecha de actualización. Evitar fórmulas críticas no documentadas.</t>
  </si>
  <si>
    <t>Protección de datos</t>
  </si>
  <si>
    <t>Si el proyecto usa información de colaboradores, documentar restricciones de acceso, tratamiento, anonimización y controles de confidencialidad.</t>
  </si>
  <si>
    <t>Aprobaciones</t>
  </si>
  <si>
    <t>Registrar validación funcional y técnica antes del despliegue; el control documental y el código oficial pueden actualizarse luego por SGC.</t>
  </si>
  <si>
    <t>NOTA DE IMPLEMENTACIÓN</t>
  </si>
  <si>
    <t>Formato base propuesto para gestión de proyectos analíticos bajo metodología CRISP-DM. Diseñado para uso corporativo del Grupo LEMCO con estructura visual y lineamientos inspirados en formatos SGC de Challenger. El código documental definitivo, responsables de control y versión oficial deben ser validados por el proceso de Calidad.</t>
  </si>
  <si>
    <t>1. IDENTIFICACIÓN DEL PROYECTO</t>
  </si>
  <si>
    <t>Empresa / unidad de negocio</t>
  </si>
  <si>
    <t>Proceso / frente</t>
  </si>
  <si>
    <t>Nombre del proyecto</t>
  </si>
  <si>
    <t>Tipo de proyecto</t>
  </si>
  <si>
    <t>Sponsor / líder solicitante</t>
  </si>
  <si>
    <t>Líder analítico</t>
  </si>
  <si>
    <t>Fecha de actualización</t>
  </si>
  <si>
    <t>Estado general</t>
  </si>
  <si>
    <t>Periodicidad</t>
  </si>
  <si>
    <t>Audiencia objetivo</t>
  </si>
  <si>
    <t>2. RESUMEN EJECUTIVO Y ALINEACIÓN ESTRATÉGICA / SGC</t>
  </si>
  <si>
    <t>Problema o necesidad de negocio</t>
  </si>
  <si>
    <t>Objetivo del proyecto</t>
  </si>
  <si>
    <t>Decisiones a soportar</t>
  </si>
  <si>
    <t>Alineación con estrategia / objetivo del proceso / SGC</t>
  </si>
  <si>
    <t>Beneficio esperado</t>
  </si>
  <si>
    <t>Riesgo de no ejecutar</t>
  </si>
  <si>
    <t>3. FASE 1. COMPRENSIÓN DEL NEGOCIO</t>
  </si>
  <si>
    <t>Preguntas analíticas clave</t>
  </si>
  <si>
    <t>Alcance (población, periodo, negocio, entregable)</t>
  </si>
  <si>
    <t>Exclusiones o límites</t>
  </si>
  <si>
    <t>Hipótesis iniciales</t>
  </si>
  <si>
    <t>Stakeholders / responsables</t>
  </si>
  <si>
    <t>KPIs y criterios de éxito</t>
  </si>
  <si>
    <t>Riesgos, supuestos y restricciones</t>
  </si>
  <si>
    <t>4. FASE 2. COMPRENSIÓN DE LOS DATOS</t>
  </si>
  <si>
    <t>Fuente / sistema</t>
  </si>
  <si>
    <t>Responsable</t>
  </si>
  <si>
    <t>Cobertura</t>
  </si>
  <si>
    <t>Llave principal</t>
  </si>
  <si>
    <t>Calidad</t>
  </si>
  <si>
    <t>Privacidad</t>
  </si>
  <si>
    <t>Observaciones</t>
  </si>
  <si>
    <t>RESUMEN AUTOMÁTICO</t>
  </si>
  <si>
    <t>Fuentes registradas</t>
  </si>
  <si>
    <t>Actividades registradas</t>
  </si>
  <si>
    <t>% avance promedio</t>
  </si>
  <si>
    <t>Actividades cerradas</t>
  </si>
  <si>
    <t>5. FASE 3. PREPARACIÓN DE LOS DATOS</t>
  </si>
  <si>
    <t>Dataset / tabla</t>
  </si>
  <si>
    <t>Transformación o regla</t>
  </si>
  <si>
    <t>Campo origen</t>
  </si>
  <si>
    <t>Campo resultado</t>
  </si>
  <si>
    <t>Validación aplicada</t>
  </si>
  <si>
    <t>Estado</t>
  </si>
  <si>
    <t>6. FASE 4. MODELADO / ANÁLISIS</t>
  </si>
  <si>
    <t>Enfoque analítico / tipo de solución</t>
  </si>
  <si>
    <t>KPIs, métricas o variables a construir</t>
  </si>
  <si>
    <t>Visualizaciones, dashboard, modelo o automatización</t>
  </si>
  <si>
    <t>Supuestos, reglas de negocio y filtros</t>
  </si>
  <si>
    <t>Métricas de validación o criterios técnicos</t>
  </si>
  <si>
    <t>7. FASE 5. EVALUACIÓN</t>
  </si>
  <si>
    <t>Validación técnica</t>
  </si>
  <si>
    <t>Validación de negocio</t>
  </si>
  <si>
    <t>Hallazgos clave y decisiones derivadas</t>
  </si>
  <si>
    <t>Ajustes pendientes / observaciones</t>
  </si>
  <si>
    <t>Aprobación para despliegue</t>
  </si>
  <si>
    <t>8. FASE 6. DESPLIEGUE Y SOSTENIMIENTO</t>
  </si>
  <si>
    <t>Entregable final / ubicación</t>
  </si>
  <si>
    <t>Medio de publicación y usuarios objetivo</t>
  </si>
  <si>
    <t>Frecuencia de actualización y responsable operativo</t>
  </si>
  <si>
    <t>Plan de mantenimiento / mejora continua</t>
  </si>
  <si>
    <t>Próximos pasos / backlog</t>
  </si>
  <si>
    <t>9. CRONOGRAMA Y CONTROL DEL PROYECTO</t>
  </si>
  <si>
    <t>Actividad</t>
  </si>
  <si>
    <t>Fase CRISP-DM</t>
  </si>
  <si>
    <t>Fecha inicio</t>
  </si>
  <si>
    <t>Fecha fin</t>
  </si>
  <si>
    <t>Avance %</t>
  </si>
  <si>
    <t>Entregable / evidencia</t>
  </si>
  <si>
    <t>10. CONTROL DE CAMBIOS Y APROBACIONES</t>
  </si>
  <si>
    <t>Fecha</t>
  </si>
  <si>
    <t>Versión</t>
  </si>
  <si>
    <t>Descripción del cambio</t>
  </si>
  <si>
    <t>Aprobó</t>
  </si>
  <si>
    <t>Notas de uso:
1) Este formato es un soporte vivo del proyecto y debe actualizarse por fase.
2) El código documental puede reemplazarse cuando SGC asigne el consecutivo oficial.
3) Las listas desplegables y la hoja de catálogos ayudan a mantener estandarización entre negocios del Grupo.
4) Registrar restricciones de privacidad y confidencialidad cuando se utilicen datos de colaboradores.</t>
  </si>
  <si>
    <t>Formato propuesto para documentar proyectos analíticos bajo CRISP-DM. Diseñado para facilitar trazabilidad, control, validación y despliegue de dashboards, análisis y automatizaciones del Grupo LEMCO.</t>
  </si>
  <si>
    <t>Calidad del dato</t>
  </si>
  <si>
    <t>Estado actividad</t>
  </si>
  <si>
    <t>Estado preparación</t>
  </si>
  <si>
    <t>Pendiente</t>
  </si>
  <si>
    <t>Alta</t>
  </si>
  <si>
    <t>Dashboard</t>
  </si>
  <si>
    <t>Pública interna</t>
  </si>
  <si>
    <t>Único</t>
  </si>
  <si>
    <t>Comprensión del negocio</t>
  </si>
  <si>
    <t>En curso</t>
  </si>
  <si>
    <t>Media</t>
  </si>
  <si>
    <t>Informe analítico</t>
  </si>
  <si>
    <t>Uso interno</t>
  </si>
  <si>
    <t>Semanal</t>
  </si>
  <si>
    <t>Comprensión de los datos</t>
  </si>
  <si>
    <t>En validación</t>
  </si>
  <si>
    <t>Baja</t>
  </si>
  <si>
    <t>Modelo predictivo</t>
  </si>
  <si>
    <t>Confidencial</t>
  </si>
  <si>
    <t>Quincenal</t>
  </si>
  <si>
    <t>Preparación de los datos</t>
  </si>
  <si>
    <t>Validado</t>
  </si>
  <si>
    <t>Cerrado</t>
  </si>
  <si>
    <t>Automatización</t>
  </si>
  <si>
    <t>Restringida</t>
  </si>
  <si>
    <t>Mensual</t>
  </si>
  <si>
    <t>Modelado / análisis</t>
  </si>
  <si>
    <t>Por validar</t>
  </si>
  <si>
    <t>No aplica</t>
  </si>
  <si>
    <t>Diagnóstico / exploratorio</t>
  </si>
  <si>
    <t>Trimestral</t>
  </si>
  <si>
    <t>Evaluación</t>
  </si>
  <si>
    <t>Suspendido</t>
  </si>
  <si>
    <t>Semestral</t>
  </si>
  <si>
    <t>Despliegue</t>
  </si>
  <si>
    <t>Anual</t>
  </si>
  <si>
    <t>Explica cómo usar el archivo, qué contiene cada hoja y qué debes registrar en cada sección.</t>
  </si>
  <si>
    <t>Es la hoja principal. Aquí se documenta el proyecto desde la identificación inicial hasta el cronograma, cambios y aprobaciones.</t>
  </si>
  <si>
    <t>Contiene los catálogos para listas desplegables como estado, prioridad, tipo de proyecto y confidencialidad.</t>
  </si>
  <si>
    <t>Úsalos en el cronograma y seguimiento del proyecto: Pendiente, En curso, En validación, Cerrado o Suspendido.</t>
  </si>
  <si>
    <t>Marca Alta, Media o Baja según impacto para el negocio, urgencia y dependencias del proyecto.</t>
  </si>
  <si>
    <t>Clasifica la información según su sensibilidad: Pública interna, Uso interno, Confidencial o Restringida.</t>
  </si>
  <si>
    <t>Mantén el formato actualizado por fase, registra decisiones clave y usa siempre la fuente oficial del dato.</t>
  </si>
  <si>
    <t>Si el proyecto usa datos de colaboradores, documenta restricciones de acceso, anonimización y controles de confidencialidad.</t>
  </si>
  <si>
    <t>Antes del despliegue registra quién validó el resultado desde negocio y quién aprobó su publicación o uso.</t>
  </si>
  <si>
    <t>Sección 3 del formato. Ej.: kickoff, alcance, preguntas analíticas, KPIs y criterios de éxito.</t>
  </si>
  <si>
    <t>Sección 4 del formato. Ej.: inventario de fuentes, responsables y observaciones de calidad.</t>
  </si>
  <si>
    <t>Sección 5 del formato. Ej.: reglas de transformación, validaciones y estado de avance.</t>
  </si>
  <si>
    <t>Sección 6 del formato. Ej.: diseño funcional, KPIs, visuales, supuestos y criterios técnicos.</t>
  </si>
  <si>
    <t>Sección 7 del formato. Ej.: validaciones, hallazgos, observaciones y aprobación para despliegue.</t>
  </si>
  <si>
    <t>Sección 8 del formato. Ej.: ruta de publicación, responsables, frecuencia y backlog.</t>
  </si>
  <si>
    <t>Dónde se diligencia / entregables sugeridos</t>
  </si>
  <si>
    <t>Describe qué necesita el negocio, qué preguntas debe responder el proyecto, cuál es el alcance y cómo sabrás que fue exitoso.</t>
  </si>
  <si>
    <t>Relaciona las fuentes que usarás, el responsable del dato, la periodicidad, la calidad y las restricciones de acceso o privacidad.</t>
  </si>
  <si>
    <t>Documenta cómo dejarás listos los datos para analizarlos: reglas de limpieza, homologaciones, exclusiones y validaciones.</t>
  </si>
  <si>
    <t>Explica qué construirás: indicadores, dashboard, automatización, visualizaciones o modelo, junto con las reglas de negocio.</t>
  </si>
  <si>
    <t>Registra cómo validarás el resultado con el negocio y con el equipo técnico, qué hallazgos surgieron y qué ajustes quedan.</t>
  </si>
  <si>
    <t>Deja claro cuál es el entregable final, dónde quedará publicado, quién lo usará, quién lo actualizará y qué sigue después.</t>
  </si>
  <si>
    <t>Documentar y gestionar proyectos analíticos bajo la metodología CRISP-DM, de forma ordenada, trazable y alineada con el Sistema de Gestión de Calidad.</t>
  </si>
  <si>
    <t>Aplica para proyectos de dashboard, reportería, automatización, análisis y modelos de datos de las empresas del Grupo. Se presenta inicialmente con estilo y lineamientos de Challenger.</t>
  </si>
  <si>
    <t>GUÍA DE DILIGENCIAMIENTO POR SECCIÓN</t>
  </si>
  <si>
    <t>1. Identificación del proyecto</t>
  </si>
  <si>
    <t>2. Resumen ejecutivo</t>
  </si>
  <si>
    <t>3. Fase 1. Comprensión del negocio</t>
  </si>
  <si>
    <t>4. Fase 2. Comprensión de los datos</t>
  </si>
  <si>
    <t>5. Fase 3. Preparación de los datos</t>
  </si>
  <si>
    <t>6. Fase 4. Modelado / análisis</t>
  </si>
  <si>
    <t>7. Fases 5 y 6 + cronograma</t>
  </si>
  <si>
    <t>8. Control de cambios</t>
  </si>
  <si>
    <t>Sección</t>
  </si>
  <si>
    <t>Pasos de diligenciamiento</t>
  </si>
  <si>
    <t>Describa la necesidad del negocio, el objetivo del proyecto, las decisiones a soportar, el beneficio esperado y el riesgo de no ejecutarlo.</t>
  </si>
  <si>
    <t>Defina preguntas analíticas, alcance, exclusiones, hipótesis, stakeholders, KPIs de éxito y riesgos iniciales.</t>
  </si>
  <si>
    <t>Relacione las fuentes, responsables, periodicidad, cobertura, llave principal, calidad del dato, privacidad y observaciones.</t>
  </si>
  <si>
    <t>Documente las reglas de limpieza, unificación, transformaciones, validaciones y estado de preparación.</t>
  </si>
  <si>
    <t>Registre la solución a construir: KPIs, visualizaciones, filtros, supuestos y criterios técnicos.</t>
  </si>
  <si>
    <t>Documente validaciones, hallazgos, aprobación, despliegue, sostenimiento, actividades, fechas, avance y evidencias.</t>
  </si>
  <si>
    <t>Registre ajustes relevantes de alcance, fechas, responsables, entregables o versión del documento.</t>
  </si>
  <si>
    <t>Registre empresa, proceso, nombre del proyecto, sponsor, responsable analítico, prioridad, periodicidad y audiencia objetivo.</t>
  </si>
  <si>
    <t>Formato propuesto para documentar proyectos analíticos bajo metodología CRISP-DM. Puede utilizarse como soporte vivo del proyecto y debe actualizarse por fase. El código documental definitivo y la aprobación formal podrán ser ajustados posteriormente por SGC.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</si>
</sst>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>
    <font>
      <sz val="11"/>
      <name val="Carlito"/>
    </font>
    <font>
      <b/>
      <sz val="28"/>
      <color rgb="FF003494"/>
      <name val="Carlito"/>
    </font>
    <font>
      <b/>
      <sz val="12"/>
      <color rgb="FF000000"/>
      <name val="Carlito"/>
    </font>
    <font>
      <sz val="11"/>
      <color rgb="FF000000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color rgb="FF000032"/>
      <name val="Carlito"/>
    </font>
    <font>
      <b/>
      <sz val="10"/>
      <color rgb="FF000000"/>
      <name val="Carlito"/>
    </font>
    <font>
      <sz val="10"/>
      <color rgb="FF000000"/>
      <name val="Carlito"/>
    </font>
    <font>
      <b/>
      <sz val="11"/>
      <color theme="1"/>
      <name val="Carlito"/>
    </font>
    <font>
      <b/>
      <sz val="11"/>
      <color rgb="FF000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003494"/>
      </patternFill>
    </fill>
    <fill>
      <patternFill patternType="solid">
        <fgColor rgb="FFE3F5FF"/>
      </patternFill>
    </fill>
    <fill>
      <patternFill patternType="solid">
        <fgColor rgb="FFE3F5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 applyAlignment="1">
      <alignment vertical="center" wrapText="1"/>
    </xf>
    <xf numFmtId="0" fontId="4" fillId="4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vertical="center" wrapText="1"/>
    </xf>
    <xf numFmtId="9" fontId="0" fillId="2" borderId="0" xfId="0" applyNumberFormat="1" applyFill="1" applyAlignment="1">
      <alignment vertical="center" wrapText="1"/>
    </xf>
    <xf numFmtId="0" fontId="0" fillId="0" borderId="0" xfId="0" applyAlignment="1">
      <alignment vertical="center"/>
    </xf>
    <xf numFmtId="0" fontId="9" fillId="3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4" fillId="4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vertical="top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0" borderId="0" xfId="0" applyAlignment="1"/>
    <xf numFmtId="0" fontId="0" fillId="2" borderId="2" xfId="0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7"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</dxf>
  </dxfs>
  <tableStyles count="0" defaultTableStyle="TableStyleMedium2" defaultPivotStyle="PivotStyleLight16"/>
  <colors>
    <mruColors>
      <color rgb="FFE3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771072</xdr:colOff>
      <xdr:row>0</xdr:row>
      <xdr:rowOff>45357</xdr:rowOff>
    </xdr:from>
    <xdr:to>
      <xdr:col>2</xdr:col>
      <xdr:colOff>130554</xdr:colOff>
      <xdr:row>2</xdr:row>
      <xdr:rowOff>209551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53D39B-0635-4F61-8D69-6BC9C7DE6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072" y="45357"/>
          <a:ext cx="3160411" cy="6721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462643</xdr:colOff>
      <xdr:row>0</xdr:row>
      <xdr:rowOff>63501</xdr:rowOff>
    </xdr:from>
    <xdr:to>
      <xdr:col>2</xdr:col>
      <xdr:colOff>883483</xdr:colOff>
      <xdr:row>2</xdr:row>
      <xdr:rowOff>227695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15ED81A-1F68-4426-A017-F6E3241C1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643" y="63501"/>
          <a:ext cx="3160411" cy="67219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uentesDatosTable" displayName="FuentesDatosTable" ref="A43:H51" headerRowDxfId="6">
  <tableColumns count="8">
    <tableColumn id="1" xr3:uid="{00000000-0010-0000-0000-000001000000}" name="Fuente / sistema"/>
    <tableColumn id="2" xr3:uid="{00000000-0010-0000-0000-000002000000}" name="Responsable"/>
    <tableColumn id="3" xr3:uid="{00000000-0010-0000-0000-000003000000}" name="Periodicidad"/>
    <tableColumn id="4" xr3:uid="{00000000-0010-0000-0000-000004000000}" name="Cobertura"/>
    <tableColumn id="5" xr3:uid="{00000000-0010-0000-0000-000005000000}" name="Llave principal"/>
    <tableColumn id="6" xr3:uid="{00000000-0010-0000-0000-000006000000}" name="Calidad"/>
    <tableColumn id="7" xr3:uid="{00000000-0010-0000-0000-000007000000}" name="Privacidad"/>
    <tableColumn id="8" xr3:uid="{00000000-0010-0000-0000-000008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eparacionDatosTable" displayName="PreparacionDatosTable" ref="A54:G63" headerRowDxfId="5">
  <tableColumns count="7">
    <tableColumn id="1" xr3:uid="{00000000-0010-0000-0100-000001000000}" name="Dataset / tabla"/>
    <tableColumn id="2" xr3:uid="{00000000-0010-0000-0100-000002000000}" name="Transformación o regla"/>
    <tableColumn id="3" xr3:uid="{00000000-0010-0000-0100-000003000000}" name="Campo origen"/>
    <tableColumn id="4" xr3:uid="{00000000-0010-0000-0100-000004000000}" name="Campo resultado"/>
    <tableColumn id="5" xr3:uid="{00000000-0010-0000-0100-000005000000}" name="Validación aplicada"/>
    <tableColumn id="6" xr3:uid="{00000000-0010-0000-0100-000006000000}" name="Responsable"/>
    <tableColumn id="7" xr3:uid="{00000000-0010-0000-0100-000007000000}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ronogramaCRISPDMTable" displayName="CronogramaCRISPDMTable" ref="A102:H114" headerRowDxfId="4">
  <tableColumns count="8">
    <tableColumn id="1" xr3:uid="{00000000-0010-0000-0200-000001000000}" name="Actividad"/>
    <tableColumn id="2" xr3:uid="{00000000-0010-0000-0200-000002000000}" name="Fase CRISP-DM"/>
    <tableColumn id="3" xr3:uid="{00000000-0010-0000-0200-000003000000}" name="Responsable"/>
    <tableColumn id="4" xr3:uid="{00000000-0010-0000-0200-000004000000}" name="Fecha inicio"/>
    <tableColumn id="5" xr3:uid="{00000000-0010-0000-0200-000005000000}" name="Fecha fin"/>
    <tableColumn id="6" xr3:uid="{00000000-0010-0000-0200-000006000000}" name="Estado"/>
    <tableColumn id="7" xr3:uid="{00000000-0010-0000-0200-000007000000}" name="Avance %"/>
    <tableColumn id="8" xr3:uid="{00000000-0010-0000-0200-000008000000}" name="Entregable / evide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ntrolCambiosTable" displayName="ControlCambiosTable" ref="A117:E123" headerRowDxfId="3">
  <tableColumns count="5">
    <tableColumn id="1" xr3:uid="{00000000-0010-0000-0300-000001000000}" name="Fecha"/>
    <tableColumn id="2" xr3:uid="{00000000-0010-0000-0300-000002000000}" name="Versión"/>
    <tableColumn id="3" xr3:uid="{00000000-0010-0000-0300-000003000000}" name="Descripción del cambio"/>
    <tableColumn id="4" xr3:uid="{00000000-0010-0000-0300-000004000000}" name="Responsable"/>
    <tableColumn id="5" xr3:uid="{00000000-0010-0000-0300-000005000000}" name="Aprob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showGridLines="0" topLeftCell="A21" zoomScale="70" zoomScaleNormal="70" workbookViewId="0">
      <selection activeCell="H49" sqref="H49"/>
    </sheetView>
  </sheetViews>
  <sheetFormatPr baseColWidth="10" defaultColWidth="8.6640625" defaultRowHeight="14"/>
  <cols>
    <col min="1" max="1" width="31.9140625" bestFit="1" customWidth="1"/>
    <col min="2" max="3" width="18" customWidth="1"/>
    <col min="4" max="9" width="17" customWidth="1"/>
    <col min="10" max="12" width="14" customWidth="1"/>
  </cols>
  <sheetData>
    <row r="1" spans="1:12" ht="20" customHeight="1">
      <c r="A1" s="10"/>
      <c r="B1" s="10"/>
      <c r="C1" s="10"/>
      <c r="D1" s="11" t="s">
        <v>0</v>
      </c>
      <c r="E1" s="11" t="s">
        <v>0</v>
      </c>
      <c r="F1" s="11" t="s">
        <v>0</v>
      </c>
      <c r="G1" s="11" t="s">
        <v>0</v>
      </c>
      <c r="H1" s="11" t="s">
        <v>0</v>
      </c>
      <c r="I1" s="11" t="s">
        <v>0</v>
      </c>
      <c r="J1" s="12" t="s">
        <v>1</v>
      </c>
      <c r="K1" s="12" t="s">
        <v>1</v>
      </c>
      <c r="L1" s="12" t="s">
        <v>1</v>
      </c>
    </row>
    <row r="2" spans="1:12" ht="20" customHeight="1">
      <c r="A2" s="10"/>
      <c r="B2" s="10"/>
      <c r="C2" s="10"/>
      <c r="D2" s="11" t="s">
        <v>2</v>
      </c>
      <c r="E2" s="11" t="s">
        <v>2</v>
      </c>
      <c r="F2" s="11" t="s">
        <v>2</v>
      </c>
      <c r="G2" s="11" t="s">
        <v>2</v>
      </c>
      <c r="H2" s="11" t="s">
        <v>2</v>
      </c>
      <c r="I2" s="11" t="s">
        <v>2</v>
      </c>
      <c r="J2" s="12" t="s">
        <v>3</v>
      </c>
      <c r="K2" s="12" t="s">
        <v>3</v>
      </c>
      <c r="L2" s="12" t="s">
        <v>3</v>
      </c>
    </row>
    <row r="3" spans="1:12" ht="20" customHeight="1">
      <c r="A3" s="10"/>
      <c r="B3" s="10"/>
      <c r="C3" s="10"/>
      <c r="D3" s="11" t="s">
        <v>4</v>
      </c>
      <c r="E3" s="11" t="s">
        <v>4</v>
      </c>
      <c r="F3" s="11" t="s">
        <v>4</v>
      </c>
      <c r="G3" s="11" t="s">
        <v>4</v>
      </c>
      <c r="H3" s="11" t="s">
        <v>4</v>
      </c>
      <c r="I3" s="11" t="s">
        <v>4</v>
      </c>
      <c r="J3" s="12" t="s">
        <v>5</v>
      </c>
      <c r="K3" s="12" t="s">
        <v>5</v>
      </c>
      <c r="L3" s="12" t="s">
        <v>5</v>
      </c>
    </row>
    <row r="4" spans="1:12" ht="25" customHeight="1">
      <c r="A4" s="13" t="s">
        <v>6</v>
      </c>
      <c r="B4" s="13" t="s">
        <v>6</v>
      </c>
      <c r="C4" s="13" t="s">
        <v>6</v>
      </c>
      <c r="D4" s="13" t="s">
        <v>6</v>
      </c>
      <c r="E4" s="13" t="s">
        <v>6</v>
      </c>
      <c r="F4" s="13" t="s">
        <v>6</v>
      </c>
      <c r="G4" s="13" t="s">
        <v>6</v>
      </c>
      <c r="H4" s="13" t="s">
        <v>6</v>
      </c>
      <c r="I4" s="13" t="s">
        <v>6</v>
      </c>
      <c r="J4" s="13" t="s">
        <v>6</v>
      </c>
      <c r="K4" s="13" t="s">
        <v>6</v>
      </c>
      <c r="L4" s="13" t="s">
        <v>6</v>
      </c>
    </row>
    <row r="5" spans="1:12">
      <c r="A5" s="14" t="s">
        <v>7</v>
      </c>
      <c r="B5" s="14" t="s">
        <v>7</v>
      </c>
      <c r="C5" s="14" t="s">
        <v>7</v>
      </c>
      <c r="D5" s="15" t="s">
        <v>184</v>
      </c>
      <c r="E5" s="15" t="s">
        <v>8</v>
      </c>
      <c r="F5" s="15" t="s">
        <v>8</v>
      </c>
      <c r="G5" s="15" t="s">
        <v>8</v>
      </c>
      <c r="H5" s="15" t="s">
        <v>8</v>
      </c>
      <c r="I5" s="15" t="s">
        <v>8</v>
      </c>
      <c r="J5" s="15" t="s">
        <v>8</v>
      </c>
      <c r="K5" s="15" t="s">
        <v>8</v>
      </c>
      <c r="L5" s="15" t="s">
        <v>8</v>
      </c>
    </row>
    <row r="6" spans="1:12">
      <c r="A6" s="14" t="s">
        <v>7</v>
      </c>
      <c r="B6" s="14" t="s">
        <v>7</v>
      </c>
      <c r="C6" s="14" t="s">
        <v>7</v>
      </c>
      <c r="D6" s="15" t="s">
        <v>8</v>
      </c>
      <c r="E6" s="15" t="s">
        <v>8</v>
      </c>
      <c r="F6" s="15" t="s">
        <v>8</v>
      </c>
      <c r="G6" s="15" t="s">
        <v>8</v>
      </c>
      <c r="H6" s="15" t="s">
        <v>8</v>
      </c>
      <c r="I6" s="15" t="s">
        <v>8</v>
      </c>
      <c r="J6" s="15" t="s">
        <v>8</v>
      </c>
      <c r="K6" s="15" t="s">
        <v>8</v>
      </c>
      <c r="L6" s="15" t="s">
        <v>8</v>
      </c>
    </row>
    <row r="7" spans="1:12">
      <c r="A7" s="14" t="s">
        <v>9</v>
      </c>
      <c r="B7" s="14" t="s">
        <v>9</v>
      </c>
      <c r="C7" s="14" t="s">
        <v>9</v>
      </c>
      <c r="D7" s="15" t="s">
        <v>185</v>
      </c>
      <c r="E7" s="15" t="s">
        <v>10</v>
      </c>
      <c r="F7" s="15" t="s">
        <v>10</v>
      </c>
      <c r="G7" s="15" t="s">
        <v>10</v>
      </c>
      <c r="H7" s="15" t="s">
        <v>10</v>
      </c>
      <c r="I7" s="15" t="s">
        <v>10</v>
      </c>
      <c r="J7" s="15" t="s">
        <v>10</v>
      </c>
      <c r="K7" s="15" t="s">
        <v>10</v>
      </c>
      <c r="L7" s="15" t="s">
        <v>10</v>
      </c>
    </row>
    <row r="8" spans="1:12">
      <c r="A8" s="14" t="s">
        <v>9</v>
      </c>
      <c r="B8" s="14" t="s">
        <v>9</v>
      </c>
      <c r="C8" s="14" t="s">
        <v>9</v>
      </c>
      <c r="D8" s="15" t="s">
        <v>10</v>
      </c>
      <c r="E8" s="15" t="s">
        <v>10</v>
      </c>
      <c r="F8" s="15" t="s">
        <v>10</v>
      </c>
      <c r="G8" s="15" t="s">
        <v>10</v>
      </c>
      <c r="H8" s="15" t="s">
        <v>10</v>
      </c>
      <c r="I8" s="15" t="s">
        <v>10</v>
      </c>
      <c r="J8" s="15" t="s">
        <v>10</v>
      </c>
      <c r="K8" s="15" t="s">
        <v>10</v>
      </c>
      <c r="L8" s="15" t="s">
        <v>10</v>
      </c>
    </row>
    <row r="10" spans="1:12" ht="25" customHeight="1">
      <c r="A10" s="13" t="s">
        <v>11</v>
      </c>
      <c r="B10" s="13" t="s">
        <v>11</v>
      </c>
      <c r="C10" s="13" t="s">
        <v>11</v>
      </c>
      <c r="D10" s="13" t="s">
        <v>11</v>
      </c>
      <c r="E10" s="13" t="s">
        <v>11</v>
      </c>
      <c r="F10" s="13" t="s">
        <v>11</v>
      </c>
      <c r="G10" s="13" t="s">
        <v>11</v>
      </c>
      <c r="H10" s="13" t="s">
        <v>11</v>
      </c>
      <c r="I10" s="13" t="s">
        <v>11</v>
      </c>
      <c r="J10" s="13" t="s">
        <v>11</v>
      </c>
      <c r="K10" s="13" t="s">
        <v>11</v>
      </c>
      <c r="L10" s="13" t="s">
        <v>11</v>
      </c>
    </row>
    <row r="11" spans="1:12">
      <c r="A11" s="42" t="s">
        <v>12</v>
      </c>
      <c r="B11" s="43" t="s">
        <v>13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spans="1:12">
      <c r="A12" s="52" t="s">
        <v>14</v>
      </c>
      <c r="B12" s="15" t="s">
        <v>162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>
      <c r="A13" s="52" t="s">
        <v>15</v>
      </c>
      <c r="B13" s="15" t="s">
        <v>163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>
      <c r="A14" s="52" t="s">
        <v>16</v>
      </c>
      <c r="B14" s="15" t="s">
        <v>164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6" spans="1:12" ht="25" customHeight="1">
      <c r="A16" s="13" t="s">
        <v>186</v>
      </c>
      <c r="B16" s="13" t="s">
        <v>17</v>
      </c>
      <c r="C16" s="13" t="s">
        <v>17</v>
      </c>
      <c r="D16" s="13" t="s">
        <v>17</v>
      </c>
      <c r="E16" s="13" t="s">
        <v>17</v>
      </c>
      <c r="F16" s="13" t="s">
        <v>17</v>
      </c>
      <c r="G16" s="13" t="s">
        <v>17</v>
      </c>
      <c r="H16" s="13" t="s">
        <v>17</v>
      </c>
      <c r="I16" s="13" t="s">
        <v>17</v>
      </c>
      <c r="J16" s="13" t="s">
        <v>17</v>
      </c>
      <c r="K16" s="13" t="s">
        <v>17</v>
      </c>
      <c r="L16" s="13" t="s">
        <v>17</v>
      </c>
    </row>
    <row r="17" spans="1:12">
      <c r="A17" s="42" t="s">
        <v>195</v>
      </c>
      <c r="B17" s="44" t="s">
        <v>196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</row>
    <row r="18" spans="1:12">
      <c r="A18" s="49" t="s">
        <v>187</v>
      </c>
      <c r="B18" s="48" t="s">
        <v>204</v>
      </c>
      <c r="C18" s="45"/>
      <c r="D18" s="45"/>
      <c r="E18" s="45"/>
      <c r="F18" s="45"/>
      <c r="G18" s="45"/>
      <c r="H18" s="45"/>
      <c r="I18" s="45"/>
      <c r="J18" s="45"/>
      <c r="K18" s="45"/>
      <c r="L18" s="46"/>
    </row>
    <row r="19" spans="1:12">
      <c r="A19" s="49" t="s">
        <v>188</v>
      </c>
      <c r="B19" s="48" t="s">
        <v>197</v>
      </c>
      <c r="C19" s="45"/>
      <c r="D19" s="45"/>
      <c r="E19" s="45"/>
      <c r="F19" s="45"/>
      <c r="G19" s="45"/>
      <c r="H19" s="45"/>
      <c r="I19" s="45"/>
      <c r="J19" s="45"/>
      <c r="K19" s="45"/>
      <c r="L19" s="46"/>
    </row>
    <row r="20" spans="1:12">
      <c r="A20" s="49" t="s">
        <v>189</v>
      </c>
      <c r="B20" s="48" t="s">
        <v>198</v>
      </c>
      <c r="C20" s="45"/>
      <c r="D20" s="45"/>
      <c r="E20" s="45"/>
      <c r="F20" s="45"/>
      <c r="G20" s="45"/>
      <c r="H20" s="45"/>
      <c r="I20" s="45"/>
      <c r="J20" s="45"/>
      <c r="K20" s="45"/>
      <c r="L20" s="46"/>
    </row>
    <row r="21" spans="1:12">
      <c r="A21" s="49" t="s">
        <v>190</v>
      </c>
      <c r="B21" s="48" t="s">
        <v>199</v>
      </c>
      <c r="C21" s="45"/>
      <c r="D21" s="45"/>
      <c r="E21" s="45"/>
      <c r="F21" s="45"/>
      <c r="G21" s="45"/>
      <c r="H21" s="45"/>
      <c r="I21" s="45"/>
      <c r="J21" s="45"/>
      <c r="K21" s="45"/>
      <c r="L21" s="46"/>
    </row>
    <row r="22" spans="1:12">
      <c r="A22" s="49" t="s">
        <v>191</v>
      </c>
      <c r="B22" s="48" t="s">
        <v>200</v>
      </c>
      <c r="C22" s="45"/>
      <c r="D22" s="45"/>
      <c r="E22" s="45"/>
      <c r="F22" s="45"/>
      <c r="G22" s="45"/>
      <c r="H22" s="45"/>
      <c r="I22" s="45"/>
      <c r="J22" s="45"/>
      <c r="K22" s="45"/>
      <c r="L22" s="46"/>
    </row>
    <row r="23" spans="1:12">
      <c r="A23" s="49" t="s">
        <v>192</v>
      </c>
      <c r="B23" s="48" t="s">
        <v>201</v>
      </c>
      <c r="C23" s="45"/>
      <c r="D23" s="45"/>
      <c r="E23" s="45"/>
      <c r="F23" s="45"/>
      <c r="G23" s="45"/>
      <c r="H23" s="45"/>
      <c r="I23" s="45"/>
      <c r="J23" s="45"/>
      <c r="K23" s="45"/>
      <c r="L23" s="46"/>
    </row>
    <row r="24" spans="1:12">
      <c r="A24" s="49" t="s">
        <v>193</v>
      </c>
      <c r="B24" s="48" t="s">
        <v>202</v>
      </c>
      <c r="C24" s="45"/>
      <c r="D24" s="45"/>
      <c r="E24" s="45"/>
      <c r="F24" s="45"/>
      <c r="G24" s="45"/>
      <c r="H24" s="45"/>
      <c r="I24" s="45"/>
      <c r="J24" s="45"/>
      <c r="K24" s="45"/>
      <c r="L24" s="46"/>
    </row>
    <row r="25" spans="1:12">
      <c r="A25" s="50" t="s">
        <v>194</v>
      </c>
      <c r="B25" s="48" t="s">
        <v>203</v>
      </c>
      <c r="C25" s="45"/>
      <c r="D25" s="45"/>
      <c r="E25" s="45"/>
      <c r="F25" s="45"/>
      <c r="G25" s="45"/>
      <c r="H25" s="45"/>
      <c r="I25" s="45"/>
      <c r="J25" s="45"/>
      <c r="K25" s="45"/>
      <c r="L25" s="46"/>
    </row>
    <row r="26" spans="1:12" ht="15.5" customHeight="1">
      <c r="A26" s="47"/>
    </row>
    <row r="27" spans="1:12" ht="25" customHeight="1">
      <c r="A27" s="16" t="s">
        <v>18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8"/>
    </row>
    <row r="28" spans="1:12" ht="24" customHeight="1">
      <c r="A28" s="9" t="s">
        <v>19</v>
      </c>
      <c r="B28" s="24" t="s">
        <v>20</v>
      </c>
      <c r="C28" s="25"/>
      <c r="D28" s="25"/>
      <c r="E28" s="25"/>
      <c r="F28" s="25"/>
      <c r="G28" s="25"/>
      <c r="H28" s="26"/>
      <c r="I28" s="24" t="s">
        <v>177</v>
      </c>
      <c r="J28" s="25"/>
      <c r="K28" s="25"/>
      <c r="L28" s="26"/>
    </row>
    <row r="29" spans="1:12">
      <c r="A29" s="51" t="s">
        <v>21</v>
      </c>
      <c r="B29" s="19" t="s">
        <v>178</v>
      </c>
      <c r="C29" s="20" t="s">
        <v>22</v>
      </c>
      <c r="D29" s="20"/>
      <c r="E29" s="20"/>
      <c r="F29" s="20"/>
      <c r="G29" s="20"/>
      <c r="H29" s="21"/>
      <c r="I29" s="19" t="s">
        <v>171</v>
      </c>
      <c r="J29" s="20"/>
      <c r="K29" s="20"/>
      <c r="L29" s="21"/>
    </row>
    <row r="30" spans="1:12">
      <c r="A30" s="51" t="s">
        <v>23</v>
      </c>
      <c r="B30" s="19" t="s">
        <v>179</v>
      </c>
      <c r="C30" s="20" t="s">
        <v>24</v>
      </c>
      <c r="D30" s="20"/>
      <c r="E30" s="20"/>
      <c r="F30" s="20"/>
      <c r="G30" s="20"/>
      <c r="H30" s="21"/>
      <c r="I30" s="19" t="s">
        <v>172</v>
      </c>
      <c r="J30" s="20"/>
      <c r="K30" s="20"/>
      <c r="L30" s="21"/>
    </row>
    <row r="31" spans="1:12">
      <c r="A31" s="51" t="s">
        <v>25</v>
      </c>
      <c r="B31" s="19" t="s">
        <v>180</v>
      </c>
      <c r="C31" s="20" t="s">
        <v>26</v>
      </c>
      <c r="D31" s="20"/>
      <c r="E31" s="20"/>
      <c r="F31" s="20"/>
      <c r="G31" s="20"/>
      <c r="H31" s="21"/>
      <c r="I31" s="19" t="s">
        <v>173</v>
      </c>
      <c r="J31" s="20"/>
      <c r="K31" s="20"/>
      <c r="L31" s="21"/>
    </row>
    <row r="32" spans="1:12">
      <c r="A32" s="51" t="s">
        <v>27</v>
      </c>
      <c r="B32" s="19" t="s">
        <v>181</v>
      </c>
      <c r="C32" s="20" t="s">
        <v>28</v>
      </c>
      <c r="D32" s="20"/>
      <c r="E32" s="20"/>
      <c r="F32" s="20"/>
      <c r="G32" s="20"/>
      <c r="H32" s="21"/>
      <c r="I32" s="19" t="s">
        <v>174</v>
      </c>
      <c r="J32" s="20"/>
      <c r="K32" s="20"/>
      <c r="L32" s="21"/>
    </row>
    <row r="33" spans="1:12">
      <c r="A33" s="51" t="s">
        <v>29</v>
      </c>
      <c r="B33" s="19" t="s">
        <v>182</v>
      </c>
      <c r="C33" s="20" t="s">
        <v>30</v>
      </c>
      <c r="D33" s="20"/>
      <c r="E33" s="20"/>
      <c r="F33" s="20"/>
      <c r="G33" s="20"/>
      <c r="H33" s="21"/>
      <c r="I33" s="19" t="s">
        <v>175</v>
      </c>
      <c r="J33" s="20"/>
      <c r="K33" s="20"/>
      <c r="L33" s="21"/>
    </row>
    <row r="34" spans="1:12">
      <c r="A34" s="51" t="s">
        <v>31</v>
      </c>
      <c r="B34" s="19" t="s">
        <v>183</v>
      </c>
      <c r="C34" s="20" t="s">
        <v>32</v>
      </c>
      <c r="D34" s="20"/>
      <c r="E34" s="20"/>
      <c r="F34" s="20"/>
      <c r="G34" s="20"/>
      <c r="H34" s="21"/>
      <c r="I34" s="19" t="s">
        <v>176</v>
      </c>
      <c r="J34" s="20"/>
      <c r="K34" s="20"/>
      <c r="L34" s="21"/>
    </row>
    <row r="36" spans="1:12" ht="25" customHeight="1">
      <c r="A36" s="13" t="s">
        <v>33</v>
      </c>
      <c r="B36" s="13" t="s">
        <v>33</v>
      </c>
      <c r="C36" s="13" t="s">
        <v>33</v>
      </c>
      <c r="D36" s="13" t="s">
        <v>33</v>
      </c>
      <c r="E36" s="13" t="s">
        <v>33</v>
      </c>
      <c r="F36" s="13" t="s">
        <v>33</v>
      </c>
      <c r="G36" s="13" t="s">
        <v>33</v>
      </c>
      <c r="H36" s="13" t="s">
        <v>33</v>
      </c>
      <c r="I36" s="13" t="s">
        <v>33</v>
      </c>
      <c r="J36" s="13" t="s">
        <v>33</v>
      </c>
      <c r="K36" s="13" t="s">
        <v>33</v>
      </c>
      <c r="L36" s="13" t="s">
        <v>33</v>
      </c>
    </row>
    <row r="37" spans="1:12">
      <c r="A37" s="52" t="s">
        <v>34</v>
      </c>
      <c r="B37" s="15" t="s">
        <v>165</v>
      </c>
      <c r="C37" s="15" t="s">
        <v>35</v>
      </c>
      <c r="D37" s="15" t="s">
        <v>35</v>
      </c>
      <c r="E37" s="15" t="s">
        <v>35</v>
      </c>
      <c r="F37" s="15" t="s">
        <v>35</v>
      </c>
      <c r="G37" s="15" t="s">
        <v>35</v>
      </c>
      <c r="H37" s="15" t="s">
        <v>35</v>
      </c>
      <c r="I37" s="15" t="s">
        <v>35</v>
      </c>
      <c r="J37" s="15" t="s">
        <v>35</v>
      </c>
      <c r="K37" s="15" t="s">
        <v>35</v>
      </c>
      <c r="L37" s="15" t="s">
        <v>35</v>
      </c>
    </row>
    <row r="38" spans="1:12">
      <c r="A38" s="52" t="s">
        <v>36</v>
      </c>
      <c r="B38" s="15" t="s">
        <v>166</v>
      </c>
      <c r="C38" s="15" t="s">
        <v>37</v>
      </c>
      <c r="D38" s="15" t="s">
        <v>37</v>
      </c>
      <c r="E38" s="15" t="s">
        <v>37</v>
      </c>
      <c r="F38" s="15" t="s">
        <v>37</v>
      </c>
      <c r="G38" s="15" t="s">
        <v>37</v>
      </c>
      <c r="H38" s="15" t="s">
        <v>37</v>
      </c>
      <c r="I38" s="15" t="s">
        <v>37</v>
      </c>
      <c r="J38" s="15" t="s">
        <v>37</v>
      </c>
      <c r="K38" s="15" t="s">
        <v>37</v>
      </c>
      <c r="L38" s="15" t="s">
        <v>37</v>
      </c>
    </row>
    <row r="39" spans="1:12">
      <c r="A39" s="52" t="s">
        <v>38</v>
      </c>
      <c r="B39" s="15" t="s">
        <v>167</v>
      </c>
      <c r="C39" s="15" t="s">
        <v>39</v>
      </c>
      <c r="D39" s="15" t="s">
        <v>39</v>
      </c>
      <c r="E39" s="15" t="s">
        <v>39</v>
      </c>
      <c r="F39" s="15" t="s">
        <v>39</v>
      </c>
      <c r="G39" s="15" t="s">
        <v>39</v>
      </c>
      <c r="H39" s="15" t="s">
        <v>39</v>
      </c>
      <c r="I39" s="15" t="s">
        <v>39</v>
      </c>
      <c r="J39" s="15" t="s">
        <v>39</v>
      </c>
      <c r="K39" s="15" t="s">
        <v>39</v>
      </c>
      <c r="L39" s="15" t="s">
        <v>39</v>
      </c>
    </row>
    <row r="40" spans="1:12">
      <c r="A40" s="52" t="s">
        <v>40</v>
      </c>
      <c r="B40" s="15" t="s">
        <v>168</v>
      </c>
      <c r="C40" s="15" t="s">
        <v>41</v>
      </c>
      <c r="D40" s="15" t="s">
        <v>41</v>
      </c>
      <c r="E40" s="15" t="s">
        <v>41</v>
      </c>
      <c r="F40" s="15" t="s">
        <v>41</v>
      </c>
      <c r="G40" s="15" t="s">
        <v>41</v>
      </c>
      <c r="H40" s="15" t="s">
        <v>41</v>
      </c>
      <c r="I40" s="15" t="s">
        <v>41</v>
      </c>
      <c r="J40" s="15" t="s">
        <v>41</v>
      </c>
      <c r="K40" s="15" t="s">
        <v>41</v>
      </c>
      <c r="L40" s="15" t="s">
        <v>41</v>
      </c>
    </row>
    <row r="41" spans="1:12">
      <c r="A41" s="52" t="s">
        <v>42</v>
      </c>
      <c r="B41" s="15" t="s">
        <v>169</v>
      </c>
      <c r="C41" s="15" t="s">
        <v>43</v>
      </c>
      <c r="D41" s="15" t="s">
        <v>43</v>
      </c>
      <c r="E41" s="15" t="s">
        <v>43</v>
      </c>
      <c r="F41" s="15" t="s">
        <v>43</v>
      </c>
      <c r="G41" s="15" t="s">
        <v>43</v>
      </c>
      <c r="H41" s="15" t="s">
        <v>43</v>
      </c>
      <c r="I41" s="15" t="s">
        <v>43</v>
      </c>
      <c r="J41" s="15" t="s">
        <v>43</v>
      </c>
      <c r="K41" s="15" t="s">
        <v>43</v>
      </c>
      <c r="L41" s="15" t="s">
        <v>43</v>
      </c>
    </row>
    <row r="42" spans="1:12">
      <c r="A42" s="52" t="s">
        <v>44</v>
      </c>
      <c r="B42" s="15" t="s">
        <v>170</v>
      </c>
      <c r="C42" s="15" t="s">
        <v>45</v>
      </c>
      <c r="D42" s="15" t="s">
        <v>45</v>
      </c>
      <c r="E42" s="15" t="s">
        <v>45</v>
      </c>
      <c r="F42" s="15" t="s">
        <v>45</v>
      </c>
      <c r="G42" s="15" t="s">
        <v>45</v>
      </c>
      <c r="H42" s="15" t="s">
        <v>45</v>
      </c>
      <c r="I42" s="15" t="s">
        <v>45</v>
      </c>
      <c r="J42" s="15" t="s">
        <v>45</v>
      </c>
      <c r="K42" s="15" t="s">
        <v>45</v>
      </c>
      <c r="L42" s="15" t="s">
        <v>45</v>
      </c>
    </row>
    <row r="44" spans="1:12" ht="14.65" customHeight="1">
      <c r="A44" s="22" t="s">
        <v>46</v>
      </c>
      <c r="B44" s="22" t="s">
        <v>46</v>
      </c>
      <c r="C44" s="22" t="s">
        <v>46</v>
      </c>
      <c r="D44" s="22" t="s">
        <v>46</v>
      </c>
      <c r="E44" s="22" t="s">
        <v>46</v>
      </c>
      <c r="F44" s="22" t="s">
        <v>46</v>
      </c>
      <c r="G44" s="22" t="s">
        <v>46</v>
      </c>
      <c r="H44" s="22" t="s">
        <v>46</v>
      </c>
      <c r="I44" s="22" t="s">
        <v>46</v>
      </c>
      <c r="J44" s="22" t="s">
        <v>46</v>
      </c>
      <c r="K44" s="22" t="s">
        <v>46</v>
      </c>
      <c r="L44" s="22" t="s">
        <v>46</v>
      </c>
    </row>
    <row r="45" spans="1:12">
      <c r="A45" s="23" t="s">
        <v>205</v>
      </c>
      <c r="B45" s="23" t="s">
        <v>47</v>
      </c>
      <c r="C45" s="23" t="s">
        <v>47</v>
      </c>
      <c r="D45" s="23" t="s">
        <v>47</v>
      </c>
      <c r="E45" s="23" t="s">
        <v>47</v>
      </c>
      <c r="F45" s="23" t="s">
        <v>47</v>
      </c>
      <c r="G45" s="23" t="s">
        <v>47</v>
      </c>
      <c r="H45" s="23" t="s">
        <v>47</v>
      </c>
      <c r="I45" s="23" t="s">
        <v>47</v>
      </c>
      <c r="J45" s="23" t="s">
        <v>47</v>
      </c>
      <c r="K45" s="23" t="s">
        <v>47</v>
      </c>
      <c r="L45" s="23" t="s">
        <v>47</v>
      </c>
    </row>
    <row r="46" spans="1:12">
      <c r="A46" s="23" t="s">
        <v>47</v>
      </c>
      <c r="B46" s="23" t="s">
        <v>47</v>
      </c>
      <c r="C46" s="23" t="s">
        <v>47</v>
      </c>
      <c r="D46" s="23" t="s">
        <v>47</v>
      </c>
      <c r="E46" s="23" t="s">
        <v>47</v>
      </c>
      <c r="F46" s="23" t="s">
        <v>47</v>
      </c>
      <c r="G46" s="23" t="s">
        <v>47</v>
      </c>
      <c r="H46" s="23" t="s">
        <v>47</v>
      </c>
      <c r="I46" s="23" t="s">
        <v>47</v>
      </c>
      <c r="J46" s="23" t="s">
        <v>47</v>
      </c>
      <c r="K46" s="23" t="s">
        <v>47</v>
      </c>
      <c r="L46" s="23" t="s">
        <v>47</v>
      </c>
    </row>
    <row r="47" spans="1:12">
      <c r="A47" s="23" t="s">
        <v>47</v>
      </c>
      <c r="B47" s="23" t="s">
        <v>47</v>
      </c>
      <c r="C47" s="23" t="s">
        <v>47</v>
      </c>
      <c r="D47" s="23" t="s">
        <v>47</v>
      </c>
      <c r="E47" s="23" t="s">
        <v>47</v>
      </c>
      <c r="F47" s="23" t="s">
        <v>47</v>
      </c>
      <c r="G47" s="23" t="s">
        <v>47</v>
      </c>
      <c r="H47" s="23" t="s">
        <v>47</v>
      </c>
      <c r="I47" s="23" t="s">
        <v>47</v>
      </c>
      <c r="J47" s="23" t="s">
        <v>47</v>
      </c>
      <c r="K47" s="23" t="s">
        <v>47</v>
      </c>
      <c r="L47" s="23" t="s">
        <v>47</v>
      </c>
    </row>
  </sheetData>
  <mergeCells count="51">
    <mergeCell ref="B23:L23"/>
    <mergeCell ref="B24:L24"/>
    <mergeCell ref="B25:L25"/>
    <mergeCell ref="B41:L41"/>
    <mergeCell ref="B42:L42"/>
    <mergeCell ref="A44:L44"/>
    <mergeCell ref="A45:L47"/>
    <mergeCell ref="B28:H28"/>
    <mergeCell ref="I28:L28"/>
    <mergeCell ref="A36:L36"/>
    <mergeCell ref="B37:L37"/>
    <mergeCell ref="B38:L38"/>
    <mergeCell ref="B39:L39"/>
    <mergeCell ref="B40:L40"/>
    <mergeCell ref="B32:H32"/>
    <mergeCell ref="I32:L32"/>
    <mergeCell ref="B33:H33"/>
    <mergeCell ref="I33:L33"/>
    <mergeCell ref="B34:H34"/>
    <mergeCell ref="I34:L34"/>
    <mergeCell ref="B29:H29"/>
    <mergeCell ref="I29:L29"/>
    <mergeCell ref="B30:H30"/>
    <mergeCell ref="I30:L30"/>
    <mergeCell ref="B31:H31"/>
    <mergeCell ref="I31:L31"/>
    <mergeCell ref="A27:L27"/>
    <mergeCell ref="A16:L16"/>
    <mergeCell ref="B17:L17"/>
    <mergeCell ref="B18:L18"/>
    <mergeCell ref="B19:L19"/>
    <mergeCell ref="B20:L20"/>
    <mergeCell ref="B21:L21"/>
    <mergeCell ref="B22:L22"/>
    <mergeCell ref="A10:L10"/>
    <mergeCell ref="B11:L11"/>
    <mergeCell ref="B12:L12"/>
    <mergeCell ref="B13:L13"/>
    <mergeCell ref="B14:L14"/>
    <mergeCell ref="A4:L4"/>
    <mergeCell ref="A5:C6"/>
    <mergeCell ref="D5:L6"/>
    <mergeCell ref="A7:C8"/>
    <mergeCell ref="D7:L8"/>
    <mergeCell ref="A1:C3"/>
    <mergeCell ref="D1:I1"/>
    <mergeCell ref="D2:I2"/>
    <mergeCell ref="D3:I3"/>
    <mergeCell ref="J1:L1"/>
    <mergeCell ref="J2:L2"/>
    <mergeCell ref="J3:L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6"/>
  <sheetViews>
    <sheetView showGridLines="0" tabSelected="1" topLeftCell="A44" zoomScale="70" zoomScaleNormal="70" workbookViewId="0">
      <selection activeCell="G11" sqref="G11"/>
    </sheetView>
  </sheetViews>
  <sheetFormatPr baseColWidth="10" defaultColWidth="8.6640625" defaultRowHeight="14"/>
  <cols>
    <col min="1" max="3" width="18" customWidth="1"/>
    <col min="4" max="9" width="17" customWidth="1"/>
    <col min="10" max="10" width="20.83203125" bestFit="1" customWidth="1"/>
    <col min="11" max="12" width="14" customWidth="1"/>
  </cols>
  <sheetData>
    <row r="1" spans="1:12" ht="20" customHeight="1">
      <c r="A1" s="30"/>
      <c r="B1" s="30"/>
      <c r="C1" s="30"/>
      <c r="D1" s="31" t="s">
        <v>0</v>
      </c>
      <c r="E1" s="31" t="s">
        <v>0</v>
      </c>
      <c r="F1" s="31" t="s">
        <v>0</v>
      </c>
      <c r="G1" s="31" t="s">
        <v>0</v>
      </c>
      <c r="H1" s="31" t="s">
        <v>0</v>
      </c>
      <c r="I1" s="31" t="s">
        <v>0</v>
      </c>
      <c r="J1" s="32" t="s">
        <v>1</v>
      </c>
      <c r="K1" s="32" t="s">
        <v>1</v>
      </c>
      <c r="L1" s="32" t="s">
        <v>1</v>
      </c>
    </row>
    <row r="2" spans="1:12" ht="20" customHeight="1">
      <c r="A2" s="30"/>
      <c r="B2" s="30"/>
      <c r="C2" s="30"/>
      <c r="D2" s="31" t="s">
        <v>2</v>
      </c>
      <c r="E2" s="31" t="s">
        <v>2</v>
      </c>
      <c r="F2" s="31" t="s">
        <v>2</v>
      </c>
      <c r="G2" s="31" t="s">
        <v>2</v>
      </c>
      <c r="H2" s="31" t="s">
        <v>2</v>
      </c>
      <c r="I2" s="31" t="s">
        <v>2</v>
      </c>
      <c r="J2" s="32" t="s">
        <v>3</v>
      </c>
      <c r="K2" s="32" t="s">
        <v>3</v>
      </c>
      <c r="L2" s="32" t="s">
        <v>3</v>
      </c>
    </row>
    <row r="3" spans="1:12" ht="20" customHeight="1">
      <c r="A3" s="30"/>
      <c r="B3" s="30"/>
      <c r="C3" s="30"/>
      <c r="D3" s="31" t="s">
        <v>4</v>
      </c>
      <c r="E3" s="31" t="s">
        <v>4</v>
      </c>
      <c r="F3" s="31" t="s">
        <v>4</v>
      </c>
      <c r="G3" s="31" t="s">
        <v>4</v>
      </c>
      <c r="H3" s="31" t="s">
        <v>4</v>
      </c>
      <c r="I3" s="31" t="s">
        <v>4</v>
      </c>
      <c r="J3" s="32" t="s">
        <v>5</v>
      </c>
      <c r="K3" s="32" t="s">
        <v>5</v>
      </c>
      <c r="L3" s="32" t="s">
        <v>5</v>
      </c>
    </row>
    <row r="4" spans="1:12" ht="25" customHeight="1">
      <c r="A4" s="13" t="s">
        <v>48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>
      <c r="A5" s="34" t="s">
        <v>49</v>
      </c>
      <c r="B5" s="34"/>
      <c r="C5" s="34"/>
      <c r="D5" s="27"/>
      <c r="E5" s="28"/>
      <c r="F5" s="29"/>
      <c r="G5" s="36" t="s">
        <v>50</v>
      </c>
      <c r="H5" s="37"/>
      <c r="I5" s="38"/>
      <c r="J5" s="27"/>
      <c r="K5" s="28"/>
      <c r="L5" s="29"/>
    </row>
    <row r="6" spans="1:12">
      <c r="A6" s="34" t="s">
        <v>51</v>
      </c>
      <c r="B6" s="34"/>
      <c r="C6" s="34"/>
      <c r="D6" s="27"/>
      <c r="E6" s="28"/>
      <c r="F6" s="29"/>
      <c r="G6" s="36" t="s">
        <v>52</v>
      </c>
      <c r="H6" s="37"/>
      <c r="I6" s="38"/>
      <c r="J6" s="27"/>
      <c r="K6" s="28"/>
      <c r="L6" s="29"/>
    </row>
    <row r="7" spans="1:12">
      <c r="A7" s="34" t="s">
        <v>53</v>
      </c>
      <c r="B7" s="34"/>
      <c r="C7" s="34"/>
      <c r="D7" s="27"/>
      <c r="E7" s="28"/>
      <c r="F7" s="29"/>
      <c r="G7" s="36" t="s">
        <v>54</v>
      </c>
      <c r="H7" s="37"/>
      <c r="I7" s="38"/>
      <c r="J7" s="27"/>
      <c r="K7" s="28"/>
      <c r="L7" s="29"/>
    </row>
    <row r="8" spans="1:12">
      <c r="A8" s="34" t="s">
        <v>55</v>
      </c>
      <c r="B8" s="34"/>
      <c r="C8" s="34"/>
      <c r="D8" s="27"/>
      <c r="E8" s="28"/>
      <c r="F8" s="29"/>
      <c r="G8" s="36" t="s">
        <v>56</v>
      </c>
      <c r="H8" s="37"/>
      <c r="I8" s="38"/>
      <c r="J8" s="27"/>
      <c r="K8" s="28"/>
      <c r="L8" s="29"/>
    </row>
    <row r="9" spans="1:12">
      <c r="A9" s="34" t="s">
        <v>36</v>
      </c>
      <c r="B9" s="34"/>
      <c r="C9" s="34"/>
      <c r="D9" s="27"/>
      <c r="E9" s="28"/>
      <c r="F9" s="29"/>
      <c r="G9" s="36" t="s">
        <v>38</v>
      </c>
      <c r="H9" s="37"/>
      <c r="I9" s="38"/>
      <c r="J9" s="27"/>
      <c r="K9" s="28"/>
      <c r="L9" s="29"/>
    </row>
    <row r="10" spans="1:12">
      <c r="A10" s="34" t="s">
        <v>57</v>
      </c>
      <c r="B10" s="34"/>
      <c r="C10" s="34"/>
      <c r="D10" s="27"/>
      <c r="E10" s="28"/>
      <c r="F10" s="29"/>
      <c r="G10" s="36" t="s">
        <v>58</v>
      </c>
      <c r="H10" s="37"/>
      <c r="I10" s="38"/>
      <c r="J10" s="27"/>
      <c r="K10" s="28"/>
      <c r="L10" s="29"/>
    </row>
    <row r="12" spans="1:12" ht="25" customHeight="1">
      <c r="A12" s="33" t="s">
        <v>59</v>
      </c>
      <c r="B12" s="33" t="s">
        <v>59</v>
      </c>
      <c r="C12" s="33" t="s">
        <v>59</v>
      </c>
      <c r="D12" s="33" t="s">
        <v>59</v>
      </c>
      <c r="E12" s="33" t="s">
        <v>59</v>
      </c>
      <c r="F12" s="33" t="s">
        <v>59</v>
      </c>
      <c r="G12" s="33" t="s">
        <v>59</v>
      </c>
      <c r="H12" s="33" t="s">
        <v>59</v>
      </c>
      <c r="I12" s="33" t="s">
        <v>59</v>
      </c>
      <c r="J12" s="33" t="s">
        <v>59</v>
      </c>
      <c r="K12" s="33" t="s">
        <v>59</v>
      </c>
      <c r="L12" s="33" t="s">
        <v>59</v>
      </c>
    </row>
    <row r="13" spans="1:12" ht="13.5" customHeight="1">
      <c r="A13" s="34" t="s">
        <v>60</v>
      </c>
      <c r="B13" s="34" t="s">
        <v>60</v>
      </c>
      <c r="C13" s="34" t="s">
        <v>60</v>
      </c>
      <c r="D13" s="35"/>
      <c r="E13" s="35"/>
      <c r="F13" s="35"/>
      <c r="G13" s="35"/>
      <c r="H13" s="35"/>
      <c r="I13" s="35"/>
      <c r="J13" s="35"/>
      <c r="K13" s="35"/>
      <c r="L13" s="35"/>
    </row>
    <row r="14" spans="1:12" ht="13.5" customHeight="1">
      <c r="A14" s="34" t="s">
        <v>60</v>
      </c>
      <c r="B14" s="34" t="s">
        <v>60</v>
      </c>
      <c r="C14" s="34" t="s">
        <v>60</v>
      </c>
      <c r="D14" s="35"/>
      <c r="E14" s="35"/>
      <c r="F14" s="35"/>
      <c r="G14" s="35"/>
      <c r="H14" s="35"/>
      <c r="I14" s="35"/>
      <c r="J14" s="35"/>
      <c r="K14" s="35"/>
      <c r="L14" s="35"/>
    </row>
    <row r="15" spans="1:12" ht="13.5" customHeight="1">
      <c r="A15" s="34" t="s">
        <v>61</v>
      </c>
      <c r="B15" s="34" t="s">
        <v>61</v>
      </c>
      <c r="C15" s="34" t="s">
        <v>61</v>
      </c>
      <c r="D15" s="35"/>
      <c r="E15" s="35"/>
      <c r="F15" s="35"/>
      <c r="G15" s="35"/>
      <c r="H15" s="35"/>
      <c r="I15" s="35"/>
      <c r="J15" s="35"/>
      <c r="K15" s="35"/>
      <c r="L15" s="35"/>
    </row>
    <row r="16" spans="1:12" ht="13.5" customHeight="1">
      <c r="A16" s="34" t="s">
        <v>61</v>
      </c>
      <c r="B16" s="34" t="s">
        <v>61</v>
      </c>
      <c r="C16" s="34" t="s">
        <v>61</v>
      </c>
      <c r="D16" s="35"/>
      <c r="E16" s="35"/>
      <c r="F16" s="35"/>
      <c r="G16" s="35"/>
      <c r="H16" s="35"/>
      <c r="I16" s="35"/>
      <c r="J16" s="35"/>
      <c r="K16" s="35"/>
      <c r="L16" s="35"/>
    </row>
    <row r="17" spans="1:12" ht="13.5" customHeight="1">
      <c r="A17" s="34" t="s">
        <v>62</v>
      </c>
      <c r="B17" s="34" t="s">
        <v>62</v>
      </c>
      <c r="C17" s="34" t="s">
        <v>62</v>
      </c>
      <c r="D17" s="35"/>
      <c r="E17" s="35"/>
      <c r="F17" s="35"/>
      <c r="G17" s="35"/>
      <c r="H17" s="35"/>
      <c r="I17" s="35"/>
      <c r="J17" s="35"/>
      <c r="K17" s="35"/>
      <c r="L17" s="35"/>
    </row>
    <row r="18" spans="1:12" ht="13.5" customHeight="1">
      <c r="A18" s="34" t="s">
        <v>62</v>
      </c>
      <c r="B18" s="34" t="s">
        <v>62</v>
      </c>
      <c r="C18" s="34" t="s">
        <v>62</v>
      </c>
      <c r="D18" s="35"/>
      <c r="E18" s="35"/>
      <c r="F18" s="35"/>
      <c r="G18" s="35"/>
      <c r="H18" s="35"/>
      <c r="I18" s="35"/>
      <c r="J18" s="35"/>
      <c r="K18" s="35"/>
      <c r="L18" s="35"/>
    </row>
    <row r="19" spans="1:12" ht="13.5" customHeight="1">
      <c r="A19" s="34" t="s">
        <v>63</v>
      </c>
      <c r="B19" s="34" t="s">
        <v>63</v>
      </c>
      <c r="C19" s="34" t="s">
        <v>63</v>
      </c>
      <c r="D19" s="35"/>
      <c r="E19" s="35"/>
      <c r="F19" s="35"/>
      <c r="G19" s="35"/>
      <c r="H19" s="35"/>
      <c r="I19" s="35"/>
      <c r="J19" s="35"/>
      <c r="K19" s="35"/>
      <c r="L19" s="35"/>
    </row>
    <row r="20" spans="1:12" ht="13.5" customHeight="1">
      <c r="A20" s="34" t="s">
        <v>63</v>
      </c>
      <c r="B20" s="34" t="s">
        <v>63</v>
      </c>
      <c r="C20" s="34" t="s">
        <v>63</v>
      </c>
      <c r="D20" s="35"/>
      <c r="E20" s="35"/>
      <c r="F20" s="35"/>
      <c r="G20" s="35"/>
      <c r="H20" s="35"/>
      <c r="I20" s="35"/>
      <c r="J20" s="35"/>
      <c r="K20" s="35"/>
      <c r="L20" s="35"/>
    </row>
    <row r="21" spans="1:12" ht="13.5" customHeight="1">
      <c r="A21" s="34" t="s">
        <v>64</v>
      </c>
      <c r="B21" s="34" t="s">
        <v>64</v>
      </c>
      <c r="C21" s="34" t="s">
        <v>64</v>
      </c>
      <c r="D21" s="35"/>
      <c r="E21" s="35"/>
      <c r="F21" s="35"/>
      <c r="G21" s="35"/>
      <c r="H21" s="35"/>
      <c r="I21" s="35"/>
      <c r="J21" s="35"/>
      <c r="K21" s="35"/>
      <c r="L21" s="35"/>
    </row>
    <row r="22" spans="1:12" ht="13.5" customHeight="1">
      <c r="A22" s="34" t="s">
        <v>64</v>
      </c>
      <c r="B22" s="34" t="s">
        <v>64</v>
      </c>
      <c r="C22" s="34" t="s">
        <v>64</v>
      </c>
      <c r="D22" s="35"/>
      <c r="E22" s="35"/>
      <c r="F22" s="35"/>
      <c r="G22" s="35"/>
      <c r="H22" s="35"/>
      <c r="I22" s="35"/>
      <c r="J22" s="35"/>
      <c r="K22" s="35"/>
      <c r="L22" s="35"/>
    </row>
    <row r="23" spans="1:12" ht="13.5" customHeight="1">
      <c r="A23" s="34" t="s">
        <v>65</v>
      </c>
      <c r="B23" s="34" t="s">
        <v>65</v>
      </c>
      <c r="C23" s="34" t="s">
        <v>65</v>
      </c>
      <c r="D23" s="35"/>
      <c r="E23" s="35"/>
      <c r="F23" s="35"/>
      <c r="G23" s="35"/>
      <c r="H23" s="35"/>
      <c r="I23" s="35"/>
      <c r="J23" s="35"/>
      <c r="K23" s="35"/>
      <c r="L23" s="35"/>
    </row>
    <row r="24" spans="1:12" ht="13.5" customHeight="1">
      <c r="A24" s="34" t="s">
        <v>65</v>
      </c>
      <c r="B24" s="34" t="s">
        <v>65</v>
      </c>
      <c r="C24" s="34" t="s">
        <v>65</v>
      </c>
      <c r="D24" s="35"/>
      <c r="E24" s="35"/>
      <c r="F24" s="35"/>
      <c r="G24" s="35"/>
      <c r="H24" s="35"/>
      <c r="I24" s="35"/>
      <c r="J24" s="35"/>
      <c r="K24" s="35"/>
      <c r="L24" s="35"/>
    </row>
    <row r="26" spans="1:12" ht="25" customHeight="1">
      <c r="A26" s="13" t="s">
        <v>66</v>
      </c>
      <c r="B26" s="13" t="s">
        <v>66</v>
      </c>
      <c r="C26" s="13" t="s">
        <v>66</v>
      </c>
      <c r="D26" s="13" t="s">
        <v>66</v>
      </c>
      <c r="E26" s="13" t="s">
        <v>66</v>
      </c>
      <c r="F26" s="13" t="s">
        <v>66</v>
      </c>
      <c r="G26" s="13" t="s">
        <v>66</v>
      </c>
      <c r="H26" s="13" t="s">
        <v>66</v>
      </c>
      <c r="I26" s="13" t="s">
        <v>66</v>
      </c>
      <c r="J26" s="13" t="s">
        <v>66</v>
      </c>
      <c r="K26" s="13" t="s">
        <v>66</v>
      </c>
      <c r="L26" s="13" t="s">
        <v>66</v>
      </c>
    </row>
    <row r="27" spans="1:12" ht="21.4" customHeight="1">
      <c r="A27" s="34" t="s">
        <v>67</v>
      </c>
      <c r="B27" s="34" t="s">
        <v>67</v>
      </c>
      <c r="C27" s="34" t="s">
        <v>67</v>
      </c>
      <c r="D27" s="35"/>
      <c r="E27" s="35"/>
      <c r="F27" s="35"/>
      <c r="G27" s="35"/>
      <c r="H27" s="35"/>
      <c r="I27" s="35"/>
      <c r="J27" s="35"/>
      <c r="K27" s="35"/>
      <c r="L27" s="35"/>
    </row>
    <row r="28" spans="1:12" ht="21.4" customHeight="1">
      <c r="A28" s="34" t="s">
        <v>67</v>
      </c>
      <c r="B28" s="34" t="s">
        <v>67</v>
      </c>
      <c r="C28" s="34" t="s">
        <v>67</v>
      </c>
      <c r="D28" s="35"/>
      <c r="E28" s="35"/>
      <c r="F28" s="35"/>
      <c r="G28" s="35"/>
      <c r="H28" s="35"/>
      <c r="I28" s="35"/>
      <c r="J28" s="35"/>
      <c r="K28" s="35"/>
      <c r="L28" s="35"/>
    </row>
    <row r="29" spans="1:12" ht="21.4" customHeight="1">
      <c r="A29" s="34" t="s">
        <v>68</v>
      </c>
      <c r="B29" s="34" t="s">
        <v>68</v>
      </c>
      <c r="C29" s="34" t="s">
        <v>68</v>
      </c>
      <c r="D29" s="35"/>
      <c r="E29" s="35"/>
      <c r="F29" s="35"/>
      <c r="G29" s="35"/>
      <c r="H29" s="35"/>
      <c r="I29" s="35"/>
      <c r="J29" s="35"/>
      <c r="K29" s="35"/>
      <c r="L29" s="35"/>
    </row>
    <row r="30" spans="1:12" ht="21.4" customHeight="1">
      <c r="A30" s="34" t="s">
        <v>68</v>
      </c>
      <c r="B30" s="34" t="s">
        <v>68</v>
      </c>
      <c r="C30" s="34" t="s">
        <v>68</v>
      </c>
      <c r="D30" s="35"/>
      <c r="E30" s="35"/>
      <c r="F30" s="35"/>
      <c r="G30" s="35"/>
      <c r="H30" s="35"/>
      <c r="I30" s="35"/>
      <c r="J30" s="35"/>
      <c r="K30" s="35"/>
      <c r="L30" s="35"/>
    </row>
    <row r="31" spans="1:12" ht="21.4" customHeight="1">
      <c r="A31" s="34" t="s">
        <v>69</v>
      </c>
      <c r="B31" s="34" t="s">
        <v>69</v>
      </c>
      <c r="C31" s="34" t="s">
        <v>69</v>
      </c>
      <c r="D31" s="35"/>
      <c r="E31" s="35"/>
      <c r="F31" s="35"/>
      <c r="G31" s="35"/>
      <c r="H31" s="35"/>
      <c r="I31" s="35"/>
      <c r="J31" s="35"/>
      <c r="K31" s="35"/>
      <c r="L31" s="35"/>
    </row>
    <row r="32" spans="1:12" ht="21.4" customHeight="1">
      <c r="A32" s="34" t="s">
        <v>69</v>
      </c>
      <c r="B32" s="34" t="s">
        <v>69</v>
      </c>
      <c r="C32" s="34" t="s">
        <v>69</v>
      </c>
      <c r="D32" s="35"/>
      <c r="E32" s="35"/>
      <c r="F32" s="35"/>
      <c r="G32" s="35"/>
      <c r="H32" s="35"/>
      <c r="I32" s="35"/>
      <c r="J32" s="35"/>
      <c r="K32" s="35"/>
      <c r="L32" s="35"/>
    </row>
    <row r="33" spans="1:12" ht="21.4" customHeight="1">
      <c r="A33" s="34" t="s">
        <v>70</v>
      </c>
      <c r="B33" s="34" t="s">
        <v>70</v>
      </c>
      <c r="C33" s="34" t="s">
        <v>70</v>
      </c>
      <c r="D33" s="35"/>
      <c r="E33" s="35"/>
      <c r="F33" s="35"/>
      <c r="G33" s="35"/>
      <c r="H33" s="35"/>
      <c r="I33" s="35"/>
      <c r="J33" s="35"/>
      <c r="K33" s="35"/>
      <c r="L33" s="35"/>
    </row>
    <row r="34" spans="1:12" ht="21.4" customHeight="1">
      <c r="A34" s="34" t="s">
        <v>70</v>
      </c>
      <c r="B34" s="34" t="s">
        <v>70</v>
      </c>
      <c r="C34" s="34" t="s">
        <v>70</v>
      </c>
      <c r="D34" s="35"/>
      <c r="E34" s="35"/>
      <c r="F34" s="35"/>
      <c r="G34" s="35"/>
      <c r="H34" s="35"/>
      <c r="I34" s="35"/>
      <c r="J34" s="35"/>
      <c r="K34" s="35"/>
      <c r="L34" s="35"/>
    </row>
    <row r="35" spans="1:12" ht="21.4" customHeight="1">
      <c r="A35" s="34" t="s">
        <v>71</v>
      </c>
      <c r="B35" s="34" t="s">
        <v>71</v>
      </c>
      <c r="C35" s="34" t="s">
        <v>71</v>
      </c>
      <c r="D35" s="35"/>
      <c r="E35" s="35"/>
      <c r="F35" s="35"/>
      <c r="G35" s="35"/>
      <c r="H35" s="35"/>
      <c r="I35" s="35"/>
      <c r="J35" s="35"/>
      <c r="K35" s="35"/>
      <c r="L35" s="35"/>
    </row>
    <row r="36" spans="1:12" ht="21.4" customHeight="1">
      <c r="A36" s="34" t="s">
        <v>71</v>
      </c>
      <c r="B36" s="34" t="s">
        <v>71</v>
      </c>
      <c r="C36" s="34" t="s">
        <v>71</v>
      </c>
      <c r="D36" s="35"/>
      <c r="E36" s="35"/>
      <c r="F36" s="35"/>
      <c r="G36" s="35"/>
      <c r="H36" s="35"/>
      <c r="I36" s="35"/>
      <c r="J36" s="35"/>
      <c r="K36" s="35"/>
      <c r="L36" s="35"/>
    </row>
    <row r="37" spans="1:12" ht="21.4" customHeight="1">
      <c r="A37" s="34" t="s">
        <v>72</v>
      </c>
      <c r="B37" s="34" t="s">
        <v>72</v>
      </c>
      <c r="C37" s="34" t="s">
        <v>72</v>
      </c>
      <c r="D37" s="35"/>
      <c r="E37" s="35"/>
      <c r="F37" s="35"/>
      <c r="G37" s="35"/>
      <c r="H37" s="35"/>
      <c r="I37" s="35"/>
      <c r="J37" s="35"/>
      <c r="K37" s="35"/>
      <c r="L37" s="35"/>
    </row>
    <row r="38" spans="1:12" ht="21.4" customHeight="1">
      <c r="A38" s="34" t="s">
        <v>72</v>
      </c>
      <c r="B38" s="34" t="s">
        <v>72</v>
      </c>
      <c r="C38" s="34" t="s">
        <v>72</v>
      </c>
      <c r="D38" s="35"/>
      <c r="E38" s="35"/>
      <c r="F38" s="35"/>
      <c r="G38" s="35"/>
      <c r="H38" s="35"/>
      <c r="I38" s="35"/>
      <c r="J38" s="35"/>
      <c r="K38" s="35"/>
      <c r="L38" s="35"/>
    </row>
    <row r="39" spans="1:12" ht="21.4" customHeight="1">
      <c r="A39" s="34" t="s">
        <v>73</v>
      </c>
      <c r="B39" s="34" t="s">
        <v>73</v>
      </c>
      <c r="C39" s="34" t="s">
        <v>73</v>
      </c>
      <c r="D39" s="35"/>
      <c r="E39" s="35"/>
      <c r="F39" s="35"/>
      <c r="G39" s="35"/>
      <c r="H39" s="35"/>
      <c r="I39" s="35"/>
      <c r="J39" s="35"/>
      <c r="K39" s="35"/>
      <c r="L39" s="35"/>
    </row>
    <row r="40" spans="1:12" ht="21.4" customHeight="1">
      <c r="A40" s="34" t="s">
        <v>73</v>
      </c>
      <c r="B40" s="34" t="s">
        <v>73</v>
      </c>
      <c r="C40" s="34" t="s">
        <v>73</v>
      </c>
      <c r="D40" s="35"/>
      <c r="E40" s="35"/>
      <c r="F40" s="35"/>
      <c r="G40" s="35"/>
      <c r="H40" s="35"/>
      <c r="I40" s="35"/>
      <c r="J40" s="35"/>
      <c r="K40" s="35"/>
      <c r="L40" s="35"/>
    </row>
    <row r="42" spans="1:12" ht="25" customHeight="1">
      <c r="A42" s="33" t="s">
        <v>74</v>
      </c>
      <c r="B42" s="33" t="s">
        <v>74</v>
      </c>
      <c r="C42" s="33" t="s">
        <v>74</v>
      </c>
      <c r="D42" s="33" t="s">
        <v>74</v>
      </c>
      <c r="E42" s="33" t="s">
        <v>74</v>
      </c>
      <c r="F42" s="33" t="s">
        <v>74</v>
      </c>
      <c r="G42" s="33" t="s">
        <v>74</v>
      </c>
      <c r="H42" s="33" t="s">
        <v>74</v>
      </c>
      <c r="I42" s="33" t="s">
        <v>74</v>
      </c>
      <c r="J42" s="33" t="s">
        <v>74</v>
      </c>
      <c r="K42" s="33" t="s">
        <v>74</v>
      </c>
      <c r="L42" s="33" t="s">
        <v>74</v>
      </c>
    </row>
    <row r="43" spans="1:12" ht="25.5" customHeight="1">
      <c r="A43" s="8" t="s">
        <v>75</v>
      </c>
      <c r="B43" s="8" t="s">
        <v>76</v>
      </c>
      <c r="C43" s="8" t="s">
        <v>57</v>
      </c>
      <c r="D43" s="8" t="s">
        <v>77</v>
      </c>
      <c r="E43" s="8" t="s">
        <v>78</v>
      </c>
      <c r="F43" s="8" t="s">
        <v>79</v>
      </c>
      <c r="G43" s="8" t="s">
        <v>80</v>
      </c>
      <c r="H43" s="8" t="s">
        <v>81</v>
      </c>
      <c r="J43" s="39" t="s">
        <v>82</v>
      </c>
      <c r="K43" s="39" t="s">
        <v>82</v>
      </c>
      <c r="L43" s="39" t="s">
        <v>82</v>
      </c>
    </row>
    <row r="44" spans="1:12">
      <c r="A44" s="1"/>
      <c r="B44" s="1"/>
      <c r="C44" s="1"/>
      <c r="D44" s="1"/>
      <c r="E44" s="1"/>
      <c r="F44" s="1"/>
      <c r="G44" s="1"/>
      <c r="H44" s="1"/>
      <c r="J44" s="39" t="s">
        <v>82</v>
      </c>
      <c r="K44" s="39" t="s">
        <v>82</v>
      </c>
      <c r="L44" s="39" t="s">
        <v>82</v>
      </c>
    </row>
    <row r="45" spans="1:12">
      <c r="A45" s="1"/>
      <c r="B45" s="1"/>
      <c r="C45" s="1"/>
      <c r="D45" s="1"/>
      <c r="E45" s="1"/>
      <c r="F45" s="1"/>
      <c r="G45" s="1"/>
      <c r="H45" s="1"/>
      <c r="J45" s="40" t="s">
        <v>83</v>
      </c>
      <c r="K45" s="40"/>
      <c r="L45" s="3">
        <f>SUMPRODUCT(--(A44:A51&lt;&gt;""))</f>
        <v>0</v>
      </c>
    </row>
    <row r="46" spans="1:12">
      <c r="A46" s="1"/>
      <c r="B46" s="1"/>
      <c r="C46" s="1"/>
      <c r="D46" s="1"/>
      <c r="E46" s="1"/>
      <c r="F46" s="1"/>
      <c r="G46" s="1"/>
      <c r="H46" s="1"/>
      <c r="J46" s="40" t="s">
        <v>84</v>
      </c>
      <c r="K46" s="40"/>
      <c r="L46" s="3">
        <f>SUMPRODUCT(--(A103:A114&lt;&gt;""))</f>
        <v>0</v>
      </c>
    </row>
    <row r="47" spans="1:12">
      <c r="A47" s="1"/>
      <c r="B47" s="1"/>
      <c r="C47" s="1"/>
      <c r="D47" s="1"/>
      <c r="E47" s="1"/>
      <c r="F47" s="1"/>
      <c r="G47" s="1"/>
      <c r="H47" s="1"/>
      <c r="J47" s="40" t="s">
        <v>85</v>
      </c>
      <c r="K47" s="40"/>
      <c r="L47" s="4">
        <f>IFERROR(AVERAGEIF(A103:A114,"&lt;&gt;",G103:G114),0)</f>
        <v>0</v>
      </c>
    </row>
    <row r="48" spans="1:12">
      <c r="A48" s="1"/>
      <c r="B48" s="1"/>
      <c r="C48" s="1"/>
      <c r="D48" s="1"/>
      <c r="E48" s="1"/>
      <c r="F48" s="1"/>
      <c r="G48" s="1"/>
      <c r="H48" s="1"/>
      <c r="J48" s="40" t="s">
        <v>86</v>
      </c>
      <c r="K48" s="40"/>
      <c r="L48" s="3">
        <f>COUNTIF(F103:F114,"Cerrado")</f>
        <v>0</v>
      </c>
    </row>
    <row r="49" spans="1:12" ht="17.399999999999999" customHeight="1">
      <c r="A49" s="1"/>
      <c r="B49" s="1"/>
      <c r="C49" s="1"/>
      <c r="D49" s="1"/>
      <c r="E49" s="1"/>
      <c r="F49" s="1"/>
      <c r="G49" s="1"/>
      <c r="H49" s="1"/>
    </row>
    <row r="50" spans="1:12" ht="17.399999999999999" customHeight="1">
      <c r="A50" s="1"/>
      <c r="B50" s="1"/>
      <c r="C50" s="1"/>
      <c r="D50" s="1"/>
      <c r="E50" s="1"/>
      <c r="F50" s="1"/>
      <c r="G50" s="1"/>
      <c r="H50" s="1"/>
    </row>
    <row r="51" spans="1:12" ht="17.399999999999999" customHeight="1">
      <c r="A51" s="1"/>
      <c r="B51" s="1"/>
      <c r="C51" s="1"/>
      <c r="D51" s="1"/>
      <c r="E51" s="1"/>
      <c r="F51" s="1"/>
      <c r="G51" s="1"/>
      <c r="H51" s="1"/>
    </row>
    <row r="53" spans="1:12" ht="25" customHeight="1">
      <c r="A53" s="33" t="s">
        <v>87</v>
      </c>
      <c r="B53" s="33" t="s">
        <v>87</v>
      </c>
      <c r="C53" s="33" t="s">
        <v>87</v>
      </c>
      <c r="D53" s="33" t="s">
        <v>87</v>
      </c>
      <c r="E53" s="33" t="s">
        <v>87</v>
      </c>
      <c r="F53" s="33" t="s">
        <v>87</v>
      </c>
      <c r="G53" s="33" t="s">
        <v>87</v>
      </c>
      <c r="H53" s="33" t="s">
        <v>87</v>
      </c>
      <c r="I53" s="33" t="s">
        <v>87</v>
      </c>
      <c r="J53" s="33" t="s">
        <v>87</v>
      </c>
      <c r="K53" s="33" t="s">
        <v>87</v>
      </c>
      <c r="L53" s="33" t="s">
        <v>87</v>
      </c>
    </row>
    <row r="54" spans="1:12" ht="28">
      <c r="A54" s="8" t="s">
        <v>88</v>
      </c>
      <c r="B54" s="8" t="s">
        <v>89</v>
      </c>
      <c r="C54" s="8" t="s">
        <v>90</v>
      </c>
      <c r="D54" s="8" t="s">
        <v>91</v>
      </c>
      <c r="E54" s="8" t="s">
        <v>92</v>
      </c>
      <c r="F54" s="8" t="s">
        <v>76</v>
      </c>
      <c r="G54" s="8" t="s">
        <v>93</v>
      </c>
    </row>
    <row r="55" spans="1:12" ht="17.399999999999999" customHeight="1">
      <c r="A55" s="1"/>
      <c r="B55" s="1"/>
      <c r="C55" s="1"/>
      <c r="D55" s="1"/>
      <c r="E55" s="1"/>
      <c r="F55" s="1"/>
      <c r="G55" s="1"/>
    </row>
    <row r="56" spans="1:12" ht="17.399999999999999" customHeight="1">
      <c r="A56" s="1"/>
      <c r="B56" s="1"/>
      <c r="C56" s="1"/>
      <c r="D56" s="1"/>
      <c r="E56" s="1"/>
      <c r="F56" s="1"/>
      <c r="G56" s="1"/>
    </row>
    <row r="57" spans="1:12" ht="17.399999999999999" customHeight="1">
      <c r="A57" s="1"/>
      <c r="B57" s="1"/>
      <c r="C57" s="1"/>
      <c r="D57" s="1"/>
      <c r="E57" s="1"/>
      <c r="F57" s="1"/>
      <c r="G57" s="1"/>
    </row>
    <row r="58" spans="1:12" ht="17.399999999999999" customHeight="1">
      <c r="A58" s="1"/>
      <c r="B58" s="1"/>
      <c r="C58" s="1"/>
      <c r="D58" s="1"/>
      <c r="E58" s="1"/>
      <c r="F58" s="1"/>
      <c r="G58" s="1"/>
    </row>
    <row r="59" spans="1:12" ht="17.399999999999999" customHeight="1">
      <c r="A59" s="1"/>
      <c r="B59" s="1"/>
      <c r="C59" s="1"/>
      <c r="D59" s="1"/>
      <c r="E59" s="1"/>
      <c r="F59" s="1"/>
      <c r="G59" s="1"/>
    </row>
    <row r="60" spans="1:12" ht="17.399999999999999" customHeight="1">
      <c r="A60" s="1"/>
      <c r="B60" s="1"/>
      <c r="C60" s="1"/>
      <c r="D60" s="1"/>
      <c r="E60" s="1"/>
      <c r="F60" s="1"/>
      <c r="G60" s="1"/>
    </row>
    <row r="61" spans="1:12" ht="17.399999999999999" customHeight="1">
      <c r="A61" s="1"/>
      <c r="B61" s="1"/>
      <c r="C61" s="1"/>
      <c r="D61" s="1"/>
      <c r="E61" s="1"/>
      <c r="F61" s="1"/>
      <c r="G61" s="1"/>
    </row>
    <row r="62" spans="1:12" ht="17.399999999999999" customHeight="1">
      <c r="A62" s="1"/>
      <c r="B62" s="1"/>
      <c r="C62" s="1"/>
      <c r="D62" s="1"/>
      <c r="E62" s="1"/>
      <c r="F62" s="1"/>
      <c r="G62" s="1"/>
    </row>
    <row r="63" spans="1:12" ht="17.399999999999999" customHeight="1">
      <c r="A63" s="1"/>
      <c r="B63" s="1"/>
      <c r="C63" s="1"/>
      <c r="D63" s="1"/>
      <c r="E63" s="1"/>
      <c r="F63" s="1"/>
      <c r="G63" s="1"/>
    </row>
    <row r="65" spans="1:12" ht="25" customHeight="1">
      <c r="A65" s="13" t="s">
        <v>94</v>
      </c>
      <c r="B65" s="13" t="s">
        <v>94</v>
      </c>
      <c r="C65" s="13" t="s">
        <v>94</v>
      </c>
      <c r="D65" s="13" t="s">
        <v>94</v>
      </c>
      <c r="E65" s="13" t="s">
        <v>94</v>
      </c>
      <c r="F65" s="13" t="s">
        <v>94</v>
      </c>
      <c r="G65" s="13" t="s">
        <v>94</v>
      </c>
      <c r="H65" s="13" t="s">
        <v>94</v>
      </c>
      <c r="I65" s="13" t="s">
        <v>94</v>
      </c>
      <c r="J65" s="13" t="s">
        <v>94</v>
      </c>
      <c r="K65" s="13" t="s">
        <v>94</v>
      </c>
      <c r="L65" s="13" t="s">
        <v>94</v>
      </c>
    </row>
    <row r="66" spans="1:12" ht="21.4" customHeight="1">
      <c r="A66" s="34" t="s">
        <v>95</v>
      </c>
      <c r="B66" s="34" t="s">
        <v>95</v>
      </c>
      <c r="C66" s="34" t="s">
        <v>95</v>
      </c>
      <c r="D66" s="35"/>
      <c r="E66" s="35"/>
      <c r="F66" s="35"/>
      <c r="G66" s="35"/>
      <c r="H66" s="35"/>
      <c r="I66" s="35"/>
      <c r="J66" s="35"/>
      <c r="K66" s="35"/>
      <c r="L66" s="35"/>
    </row>
    <row r="67" spans="1:12">
      <c r="A67" s="34" t="s">
        <v>95</v>
      </c>
      <c r="B67" s="34" t="s">
        <v>95</v>
      </c>
      <c r="C67" s="34" t="s">
        <v>95</v>
      </c>
      <c r="D67" s="35"/>
      <c r="E67" s="35"/>
      <c r="F67" s="35"/>
      <c r="G67" s="35"/>
      <c r="H67" s="35"/>
      <c r="I67" s="35"/>
      <c r="J67" s="35"/>
      <c r="K67" s="35"/>
      <c r="L67" s="35"/>
    </row>
    <row r="68" spans="1:12" ht="21.4" customHeight="1">
      <c r="A68" s="34" t="s">
        <v>96</v>
      </c>
      <c r="B68" s="34" t="s">
        <v>96</v>
      </c>
      <c r="C68" s="34" t="s">
        <v>96</v>
      </c>
      <c r="D68" s="35"/>
      <c r="E68" s="35"/>
      <c r="F68" s="35"/>
      <c r="G68" s="35"/>
      <c r="H68" s="35"/>
      <c r="I68" s="35"/>
      <c r="J68" s="35"/>
      <c r="K68" s="35"/>
      <c r="L68" s="35"/>
    </row>
    <row r="69" spans="1:12">
      <c r="A69" s="34" t="s">
        <v>96</v>
      </c>
      <c r="B69" s="34" t="s">
        <v>96</v>
      </c>
      <c r="C69" s="34" t="s">
        <v>96</v>
      </c>
      <c r="D69" s="35"/>
      <c r="E69" s="35"/>
      <c r="F69" s="35"/>
      <c r="G69" s="35"/>
      <c r="H69" s="35"/>
      <c r="I69" s="35"/>
      <c r="J69" s="35"/>
      <c r="K69" s="35"/>
      <c r="L69" s="35"/>
    </row>
    <row r="70" spans="1:12" ht="21.4" customHeight="1">
      <c r="A70" s="34" t="s">
        <v>97</v>
      </c>
      <c r="B70" s="34" t="s">
        <v>97</v>
      </c>
      <c r="C70" s="34" t="s">
        <v>97</v>
      </c>
      <c r="D70" s="35"/>
      <c r="E70" s="35"/>
      <c r="F70" s="35"/>
      <c r="G70" s="35"/>
      <c r="H70" s="35"/>
      <c r="I70" s="35"/>
      <c r="J70" s="35"/>
      <c r="K70" s="35"/>
      <c r="L70" s="35"/>
    </row>
    <row r="71" spans="1:12">
      <c r="A71" s="34" t="s">
        <v>97</v>
      </c>
      <c r="B71" s="34" t="s">
        <v>97</v>
      </c>
      <c r="C71" s="34" t="s">
        <v>97</v>
      </c>
      <c r="D71" s="35"/>
      <c r="E71" s="35"/>
      <c r="F71" s="35"/>
      <c r="G71" s="35"/>
      <c r="H71" s="35"/>
      <c r="I71" s="35"/>
      <c r="J71" s="35"/>
      <c r="K71" s="35"/>
      <c r="L71" s="35"/>
    </row>
    <row r="72" spans="1:12" ht="21.4" customHeight="1">
      <c r="A72" s="34" t="s">
        <v>98</v>
      </c>
      <c r="B72" s="34" t="s">
        <v>98</v>
      </c>
      <c r="C72" s="34" t="s">
        <v>98</v>
      </c>
      <c r="D72" s="35"/>
      <c r="E72" s="35"/>
      <c r="F72" s="35"/>
      <c r="G72" s="35"/>
      <c r="H72" s="35"/>
      <c r="I72" s="35"/>
      <c r="J72" s="35"/>
      <c r="K72" s="35"/>
      <c r="L72" s="35"/>
    </row>
    <row r="73" spans="1:12">
      <c r="A73" s="34" t="s">
        <v>98</v>
      </c>
      <c r="B73" s="34" t="s">
        <v>98</v>
      </c>
      <c r="C73" s="34" t="s">
        <v>98</v>
      </c>
      <c r="D73" s="35"/>
      <c r="E73" s="35"/>
      <c r="F73" s="35"/>
      <c r="G73" s="35"/>
      <c r="H73" s="35"/>
      <c r="I73" s="35"/>
      <c r="J73" s="35"/>
      <c r="K73" s="35"/>
      <c r="L73" s="35"/>
    </row>
    <row r="74" spans="1:12" ht="21.4" customHeight="1">
      <c r="A74" s="34" t="s">
        <v>99</v>
      </c>
      <c r="B74" s="34" t="s">
        <v>99</v>
      </c>
      <c r="C74" s="34" t="s">
        <v>99</v>
      </c>
      <c r="D74" s="35"/>
      <c r="E74" s="35"/>
      <c r="F74" s="35"/>
      <c r="G74" s="35"/>
      <c r="H74" s="35"/>
      <c r="I74" s="35"/>
      <c r="J74" s="35"/>
      <c r="K74" s="35"/>
      <c r="L74" s="35"/>
    </row>
    <row r="75" spans="1:12">
      <c r="A75" s="34" t="s">
        <v>99</v>
      </c>
      <c r="B75" s="34" t="s">
        <v>99</v>
      </c>
      <c r="C75" s="34" t="s">
        <v>99</v>
      </c>
      <c r="D75" s="35"/>
      <c r="E75" s="35"/>
      <c r="F75" s="35"/>
      <c r="G75" s="35"/>
      <c r="H75" s="35"/>
      <c r="I75" s="35"/>
      <c r="J75" s="35"/>
      <c r="K75" s="35"/>
      <c r="L75" s="35"/>
    </row>
    <row r="77" spans="1:12" ht="25" customHeight="1">
      <c r="A77" s="13" t="s">
        <v>100</v>
      </c>
      <c r="B77" s="13" t="s">
        <v>100</v>
      </c>
      <c r="C77" s="13" t="s">
        <v>100</v>
      </c>
      <c r="D77" s="13" t="s">
        <v>100</v>
      </c>
      <c r="E77" s="13" t="s">
        <v>100</v>
      </c>
      <c r="F77" s="13" t="s">
        <v>100</v>
      </c>
      <c r="G77" s="13" t="s">
        <v>100</v>
      </c>
      <c r="H77" s="13" t="s">
        <v>100</v>
      </c>
      <c r="I77" s="13" t="s">
        <v>100</v>
      </c>
      <c r="J77" s="13" t="s">
        <v>100</v>
      </c>
      <c r="K77" s="13" t="s">
        <v>100</v>
      </c>
      <c r="L77" s="13" t="s">
        <v>100</v>
      </c>
    </row>
    <row r="78" spans="1:12" ht="21.4" customHeight="1">
      <c r="A78" s="34" t="s">
        <v>101</v>
      </c>
      <c r="B78" s="34" t="s">
        <v>101</v>
      </c>
      <c r="C78" s="34" t="s">
        <v>101</v>
      </c>
      <c r="D78" s="35"/>
      <c r="E78" s="35"/>
      <c r="F78" s="35"/>
      <c r="G78" s="35"/>
      <c r="H78" s="35"/>
      <c r="I78" s="35"/>
      <c r="J78" s="35"/>
      <c r="K78" s="35"/>
      <c r="L78" s="35"/>
    </row>
    <row r="79" spans="1:12">
      <c r="A79" s="34" t="s">
        <v>101</v>
      </c>
      <c r="B79" s="34" t="s">
        <v>101</v>
      </c>
      <c r="C79" s="34" t="s">
        <v>101</v>
      </c>
      <c r="D79" s="35"/>
      <c r="E79" s="35"/>
      <c r="F79" s="35"/>
      <c r="G79" s="35"/>
      <c r="H79" s="35"/>
      <c r="I79" s="35"/>
      <c r="J79" s="35"/>
      <c r="K79" s="35"/>
      <c r="L79" s="35"/>
    </row>
    <row r="80" spans="1:12" ht="21.4" customHeight="1">
      <c r="A80" s="34" t="s">
        <v>102</v>
      </c>
      <c r="B80" s="34" t="s">
        <v>102</v>
      </c>
      <c r="C80" s="34" t="s">
        <v>102</v>
      </c>
      <c r="D80" s="35"/>
      <c r="E80" s="35"/>
      <c r="F80" s="35"/>
      <c r="G80" s="35"/>
      <c r="H80" s="35"/>
      <c r="I80" s="35"/>
      <c r="J80" s="35"/>
      <c r="K80" s="35"/>
      <c r="L80" s="35"/>
    </row>
    <row r="81" spans="1:12">
      <c r="A81" s="34" t="s">
        <v>102</v>
      </c>
      <c r="B81" s="34" t="s">
        <v>102</v>
      </c>
      <c r="C81" s="34" t="s">
        <v>102</v>
      </c>
      <c r="D81" s="35"/>
      <c r="E81" s="35"/>
      <c r="F81" s="35"/>
      <c r="G81" s="35"/>
      <c r="H81" s="35"/>
      <c r="I81" s="35"/>
      <c r="J81" s="35"/>
      <c r="K81" s="35"/>
      <c r="L81" s="35"/>
    </row>
    <row r="82" spans="1:12" ht="21.4" customHeight="1">
      <c r="A82" s="34" t="s">
        <v>103</v>
      </c>
      <c r="B82" s="34" t="s">
        <v>103</v>
      </c>
      <c r="C82" s="34" t="s">
        <v>103</v>
      </c>
      <c r="D82" s="35"/>
      <c r="E82" s="35"/>
      <c r="F82" s="35"/>
      <c r="G82" s="35"/>
      <c r="H82" s="35"/>
      <c r="I82" s="35"/>
      <c r="J82" s="35"/>
      <c r="K82" s="35"/>
      <c r="L82" s="35"/>
    </row>
    <row r="83" spans="1:12">
      <c r="A83" s="34" t="s">
        <v>103</v>
      </c>
      <c r="B83" s="34" t="s">
        <v>103</v>
      </c>
      <c r="C83" s="34" t="s">
        <v>103</v>
      </c>
      <c r="D83" s="35"/>
      <c r="E83" s="35"/>
      <c r="F83" s="35"/>
      <c r="G83" s="35"/>
      <c r="H83" s="35"/>
      <c r="I83" s="35"/>
      <c r="J83" s="35"/>
      <c r="K83" s="35"/>
      <c r="L83" s="35"/>
    </row>
    <row r="84" spans="1:12" ht="21.4" customHeight="1">
      <c r="A84" s="34" t="s">
        <v>104</v>
      </c>
      <c r="B84" s="34" t="s">
        <v>104</v>
      </c>
      <c r="C84" s="34" t="s">
        <v>104</v>
      </c>
      <c r="D84" s="35"/>
      <c r="E84" s="35"/>
      <c r="F84" s="35"/>
      <c r="G84" s="35"/>
      <c r="H84" s="35"/>
      <c r="I84" s="35"/>
      <c r="J84" s="35"/>
      <c r="K84" s="35"/>
      <c r="L84" s="35"/>
    </row>
    <row r="85" spans="1:12">
      <c r="A85" s="34" t="s">
        <v>104</v>
      </c>
      <c r="B85" s="34" t="s">
        <v>104</v>
      </c>
      <c r="C85" s="34" t="s">
        <v>104</v>
      </c>
      <c r="D85" s="35"/>
      <c r="E85" s="35"/>
      <c r="F85" s="35"/>
      <c r="G85" s="35"/>
      <c r="H85" s="35"/>
      <c r="I85" s="35"/>
      <c r="J85" s="35"/>
      <c r="K85" s="35"/>
      <c r="L85" s="35"/>
    </row>
    <row r="86" spans="1:12" ht="21.4" customHeight="1">
      <c r="A86" s="34" t="s">
        <v>105</v>
      </c>
      <c r="B86" s="34" t="s">
        <v>105</v>
      </c>
      <c r="C86" s="34" t="s">
        <v>105</v>
      </c>
      <c r="D86" s="35"/>
      <c r="E86" s="35"/>
      <c r="F86" s="35"/>
      <c r="G86" s="35"/>
      <c r="H86" s="35"/>
      <c r="I86" s="35"/>
      <c r="J86" s="35"/>
      <c r="K86" s="35"/>
      <c r="L86" s="35"/>
    </row>
    <row r="87" spans="1:12">
      <c r="A87" s="34" t="s">
        <v>105</v>
      </c>
      <c r="B87" s="34" t="s">
        <v>105</v>
      </c>
      <c r="C87" s="34" t="s">
        <v>105</v>
      </c>
      <c r="D87" s="35"/>
      <c r="E87" s="35"/>
      <c r="F87" s="35"/>
      <c r="G87" s="35"/>
      <c r="H87" s="35"/>
      <c r="I87" s="35"/>
      <c r="J87" s="35"/>
      <c r="K87" s="35"/>
      <c r="L87" s="35"/>
    </row>
    <row r="89" spans="1:12" ht="25" customHeight="1">
      <c r="A89" s="13" t="s">
        <v>106</v>
      </c>
      <c r="B89" s="13" t="s">
        <v>106</v>
      </c>
      <c r="C89" s="13" t="s">
        <v>106</v>
      </c>
      <c r="D89" s="13" t="s">
        <v>106</v>
      </c>
      <c r="E89" s="13" t="s">
        <v>106</v>
      </c>
      <c r="F89" s="13" t="s">
        <v>106</v>
      </c>
      <c r="G89" s="13" t="s">
        <v>106</v>
      </c>
      <c r="H89" s="13" t="s">
        <v>106</v>
      </c>
      <c r="I89" s="13" t="s">
        <v>106</v>
      </c>
      <c r="J89" s="13" t="s">
        <v>106</v>
      </c>
      <c r="K89" s="13" t="s">
        <v>106</v>
      </c>
      <c r="L89" s="13" t="s">
        <v>106</v>
      </c>
    </row>
    <row r="90" spans="1:12" ht="21.4" customHeight="1">
      <c r="A90" s="34" t="s">
        <v>107</v>
      </c>
      <c r="B90" s="34" t="s">
        <v>107</v>
      </c>
      <c r="C90" s="34" t="s">
        <v>107</v>
      </c>
      <c r="D90" s="35"/>
      <c r="E90" s="35"/>
      <c r="F90" s="35"/>
      <c r="G90" s="35"/>
      <c r="H90" s="35"/>
      <c r="I90" s="35"/>
      <c r="J90" s="35"/>
      <c r="K90" s="35"/>
      <c r="L90" s="35"/>
    </row>
    <row r="91" spans="1:12">
      <c r="A91" s="34" t="s">
        <v>107</v>
      </c>
      <c r="B91" s="34" t="s">
        <v>107</v>
      </c>
      <c r="C91" s="34" t="s">
        <v>107</v>
      </c>
      <c r="D91" s="35"/>
      <c r="E91" s="35"/>
      <c r="F91" s="35"/>
      <c r="G91" s="35"/>
      <c r="H91" s="35"/>
      <c r="I91" s="35"/>
      <c r="J91" s="35"/>
      <c r="K91" s="35"/>
      <c r="L91" s="35"/>
    </row>
    <row r="92" spans="1:12" ht="21.4" customHeight="1">
      <c r="A92" s="34" t="s">
        <v>108</v>
      </c>
      <c r="B92" s="34" t="s">
        <v>108</v>
      </c>
      <c r="C92" s="34" t="s">
        <v>108</v>
      </c>
      <c r="D92" s="35"/>
      <c r="E92" s="35"/>
      <c r="F92" s="35"/>
      <c r="G92" s="35"/>
      <c r="H92" s="35"/>
      <c r="I92" s="35"/>
      <c r="J92" s="35"/>
      <c r="K92" s="35"/>
      <c r="L92" s="35"/>
    </row>
    <row r="93" spans="1:12">
      <c r="A93" s="34" t="s">
        <v>108</v>
      </c>
      <c r="B93" s="34" t="s">
        <v>108</v>
      </c>
      <c r="C93" s="34" t="s">
        <v>108</v>
      </c>
      <c r="D93" s="35"/>
      <c r="E93" s="35"/>
      <c r="F93" s="35"/>
      <c r="G93" s="35"/>
      <c r="H93" s="35"/>
      <c r="I93" s="35"/>
      <c r="J93" s="35"/>
      <c r="K93" s="35"/>
      <c r="L93" s="35"/>
    </row>
    <row r="94" spans="1:12" ht="21.4" customHeight="1">
      <c r="A94" s="34" t="s">
        <v>109</v>
      </c>
      <c r="B94" s="34" t="s">
        <v>109</v>
      </c>
      <c r="C94" s="34" t="s">
        <v>109</v>
      </c>
      <c r="D94" s="35"/>
      <c r="E94" s="35"/>
      <c r="F94" s="35"/>
      <c r="G94" s="35"/>
      <c r="H94" s="35"/>
      <c r="I94" s="35"/>
      <c r="J94" s="35"/>
      <c r="K94" s="35"/>
      <c r="L94" s="35"/>
    </row>
    <row r="95" spans="1:12">
      <c r="A95" s="34" t="s">
        <v>109</v>
      </c>
      <c r="B95" s="34" t="s">
        <v>109</v>
      </c>
      <c r="C95" s="34" t="s">
        <v>109</v>
      </c>
      <c r="D95" s="35"/>
      <c r="E95" s="35"/>
      <c r="F95" s="35"/>
      <c r="G95" s="35"/>
      <c r="H95" s="35"/>
      <c r="I95" s="35"/>
      <c r="J95" s="35"/>
      <c r="K95" s="35"/>
      <c r="L95" s="35"/>
    </row>
    <row r="96" spans="1:12" ht="21.4" customHeight="1">
      <c r="A96" s="34" t="s">
        <v>110</v>
      </c>
      <c r="B96" s="34" t="s">
        <v>110</v>
      </c>
      <c r="C96" s="34" t="s">
        <v>110</v>
      </c>
      <c r="D96" s="35"/>
      <c r="E96" s="35"/>
      <c r="F96" s="35"/>
      <c r="G96" s="35"/>
      <c r="H96" s="35"/>
      <c r="I96" s="35"/>
      <c r="J96" s="35"/>
      <c r="K96" s="35"/>
      <c r="L96" s="35"/>
    </row>
    <row r="97" spans="1:12">
      <c r="A97" s="34" t="s">
        <v>110</v>
      </c>
      <c r="B97" s="34" t="s">
        <v>110</v>
      </c>
      <c r="C97" s="34" t="s">
        <v>110</v>
      </c>
      <c r="D97" s="35"/>
      <c r="E97" s="35"/>
      <c r="F97" s="35"/>
      <c r="G97" s="35"/>
      <c r="H97" s="35"/>
      <c r="I97" s="35"/>
      <c r="J97" s="35"/>
      <c r="K97" s="35"/>
      <c r="L97" s="35"/>
    </row>
    <row r="98" spans="1:12" ht="21.4" customHeight="1">
      <c r="A98" s="34" t="s">
        <v>111</v>
      </c>
      <c r="B98" s="34" t="s">
        <v>111</v>
      </c>
      <c r="C98" s="34" t="s">
        <v>111</v>
      </c>
      <c r="D98" s="35"/>
      <c r="E98" s="35"/>
      <c r="F98" s="35"/>
      <c r="G98" s="35"/>
      <c r="H98" s="35"/>
      <c r="I98" s="35"/>
      <c r="J98" s="35"/>
      <c r="K98" s="35"/>
      <c r="L98" s="35"/>
    </row>
    <row r="99" spans="1:12">
      <c r="A99" s="34" t="s">
        <v>111</v>
      </c>
      <c r="B99" s="34" t="s">
        <v>111</v>
      </c>
      <c r="C99" s="34" t="s">
        <v>111</v>
      </c>
      <c r="D99" s="35"/>
      <c r="E99" s="35"/>
      <c r="F99" s="35"/>
      <c r="G99" s="35"/>
      <c r="H99" s="35"/>
      <c r="I99" s="35"/>
      <c r="J99" s="35"/>
      <c r="K99" s="35"/>
      <c r="L99" s="35"/>
    </row>
    <row r="101" spans="1:12" ht="14.65" customHeight="1">
      <c r="A101" s="22" t="s">
        <v>112</v>
      </c>
      <c r="B101" s="22" t="s">
        <v>112</v>
      </c>
      <c r="C101" s="22" t="s">
        <v>112</v>
      </c>
      <c r="D101" s="22" t="s">
        <v>112</v>
      </c>
      <c r="E101" s="22" t="s">
        <v>112</v>
      </c>
      <c r="F101" s="22" t="s">
        <v>112</v>
      </c>
      <c r="G101" s="22" t="s">
        <v>112</v>
      </c>
      <c r="H101" s="22" t="s">
        <v>112</v>
      </c>
      <c r="I101" s="22" t="s">
        <v>112</v>
      </c>
      <c r="J101" s="22" t="s">
        <v>112</v>
      </c>
      <c r="K101" s="22" t="s">
        <v>112</v>
      </c>
      <c r="L101" s="22" t="s">
        <v>112</v>
      </c>
    </row>
    <row r="102" spans="1:12" ht="28">
      <c r="A102" s="8" t="s">
        <v>113</v>
      </c>
      <c r="B102" s="8" t="s">
        <v>114</v>
      </c>
      <c r="C102" s="8" t="s">
        <v>76</v>
      </c>
      <c r="D102" s="8" t="s">
        <v>115</v>
      </c>
      <c r="E102" s="8" t="s">
        <v>116</v>
      </c>
      <c r="F102" s="8" t="s">
        <v>93</v>
      </c>
      <c r="G102" s="8" t="s">
        <v>117</v>
      </c>
      <c r="H102" s="8" t="s">
        <v>118</v>
      </c>
    </row>
    <row r="103" spans="1:12" ht="16" customHeight="1">
      <c r="A103" s="1"/>
      <c r="B103" s="1"/>
      <c r="C103" s="1"/>
      <c r="D103" s="5"/>
      <c r="E103" s="5"/>
      <c r="F103" s="1"/>
      <c r="G103" s="6">
        <v>0</v>
      </c>
      <c r="H103" s="1"/>
    </row>
    <row r="104" spans="1:12" ht="16" customHeight="1">
      <c r="A104" s="1"/>
      <c r="B104" s="1"/>
      <c r="C104" s="1"/>
      <c r="D104" s="5"/>
      <c r="E104" s="5"/>
      <c r="F104" s="1"/>
      <c r="G104" s="6">
        <v>0</v>
      </c>
      <c r="H104" s="1"/>
    </row>
    <row r="105" spans="1:12" ht="16" customHeight="1">
      <c r="A105" s="1"/>
      <c r="B105" s="1"/>
      <c r="C105" s="1"/>
      <c r="D105" s="5"/>
      <c r="E105" s="5"/>
      <c r="F105" s="1"/>
      <c r="G105" s="6">
        <v>0</v>
      </c>
      <c r="H105" s="1"/>
    </row>
    <row r="106" spans="1:12" ht="16" customHeight="1">
      <c r="A106" s="1"/>
      <c r="B106" s="1"/>
      <c r="C106" s="1"/>
      <c r="D106" s="5"/>
      <c r="E106" s="5"/>
      <c r="F106" s="1"/>
      <c r="G106" s="6">
        <v>0</v>
      </c>
      <c r="H106" s="1"/>
    </row>
    <row r="107" spans="1:12" ht="16" customHeight="1">
      <c r="A107" s="1"/>
      <c r="B107" s="1"/>
      <c r="C107" s="1"/>
      <c r="D107" s="5"/>
      <c r="E107" s="5"/>
      <c r="F107" s="1"/>
      <c r="G107" s="6">
        <v>0</v>
      </c>
      <c r="H107" s="1"/>
    </row>
    <row r="108" spans="1:12" ht="16" customHeight="1">
      <c r="A108" s="1"/>
      <c r="B108" s="1"/>
      <c r="C108" s="1"/>
      <c r="D108" s="5"/>
      <c r="E108" s="5"/>
      <c r="F108" s="1"/>
      <c r="G108" s="6">
        <v>0</v>
      </c>
      <c r="H108" s="1"/>
    </row>
    <row r="109" spans="1:12" ht="16" customHeight="1">
      <c r="A109" s="1"/>
      <c r="B109" s="1"/>
      <c r="C109" s="1"/>
      <c r="D109" s="5"/>
      <c r="E109" s="5"/>
      <c r="F109" s="1"/>
      <c r="G109" s="6">
        <v>0</v>
      </c>
      <c r="H109" s="1"/>
    </row>
    <row r="110" spans="1:12" ht="16" customHeight="1">
      <c r="A110" s="1"/>
      <c r="B110" s="1"/>
      <c r="C110" s="1"/>
      <c r="D110" s="5"/>
      <c r="E110" s="5"/>
      <c r="F110" s="1"/>
      <c r="G110" s="6">
        <v>0</v>
      </c>
      <c r="H110" s="1"/>
    </row>
    <row r="111" spans="1:12" ht="16" customHeight="1">
      <c r="A111" s="1"/>
      <c r="B111" s="1"/>
      <c r="C111" s="1"/>
      <c r="D111" s="5"/>
      <c r="E111" s="5"/>
      <c r="F111" s="1"/>
      <c r="G111" s="6">
        <v>0</v>
      </c>
      <c r="H111" s="1"/>
    </row>
    <row r="112" spans="1:12" ht="16" customHeight="1">
      <c r="A112" s="1"/>
      <c r="B112" s="1"/>
      <c r="C112" s="1"/>
      <c r="D112" s="5"/>
      <c r="E112" s="5"/>
      <c r="F112" s="1"/>
      <c r="G112" s="6">
        <v>0</v>
      </c>
      <c r="H112" s="1"/>
    </row>
    <row r="113" spans="1:12" ht="16" customHeight="1">
      <c r="A113" s="1"/>
      <c r="B113" s="1"/>
      <c r="C113" s="1"/>
      <c r="D113" s="5"/>
      <c r="E113" s="5"/>
      <c r="F113" s="1"/>
      <c r="G113" s="6">
        <v>0</v>
      </c>
      <c r="H113" s="1"/>
    </row>
    <row r="114" spans="1:12" ht="16" customHeight="1">
      <c r="A114" s="1"/>
      <c r="B114" s="1"/>
      <c r="C114" s="1"/>
      <c r="D114" s="5"/>
      <c r="E114" s="5"/>
      <c r="F114" s="1"/>
      <c r="G114" s="6">
        <v>0</v>
      </c>
      <c r="H114" s="1"/>
    </row>
    <row r="116" spans="1:12" ht="14.65" customHeight="1">
      <c r="A116" s="22" t="s">
        <v>119</v>
      </c>
      <c r="B116" s="22" t="s">
        <v>119</v>
      </c>
      <c r="C116" s="22" t="s">
        <v>119</v>
      </c>
      <c r="D116" s="22" t="s">
        <v>119</v>
      </c>
      <c r="E116" s="22" t="s">
        <v>119</v>
      </c>
      <c r="F116" s="22" t="s">
        <v>119</v>
      </c>
      <c r="G116" s="22" t="s">
        <v>119</v>
      </c>
      <c r="H116" s="22" t="s">
        <v>119</v>
      </c>
      <c r="I116" s="22" t="s">
        <v>119</v>
      </c>
      <c r="J116" s="22" t="s">
        <v>119</v>
      </c>
      <c r="K116" s="22" t="s">
        <v>119</v>
      </c>
      <c r="L116" s="22" t="s">
        <v>119</v>
      </c>
    </row>
    <row r="117" spans="1:12" ht="28">
      <c r="A117" s="8" t="s">
        <v>120</v>
      </c>
      <c r="B117" s="8" t="s">
        <v>121</v>
      </c>
      <c r="C117" s="8" t="s">
        <v>122</v>
      </c>
      <c r="D117" s="8" t="s">
        <v>76</v>
      </c>
      <c r="E117" s="8" t="s">
        <v>123</v>
      </c>
      <c r="G117" s="41" t="s">
        <v>124</v>
      </c>
      <c r="H117" s="41" t="s">
        <v>124</v>
      </c>
      <c r="I117" s="41" t="s">
        <v>124</v>
      </c>
      <c r="J117" s="41" t="s">
        <v>124</v>
      </c>
      <c r="K117" s="41" t="s">
        <v>124</v>
      </c>
      <c r="L117" s="41" t="s">
        <v>124</v>
      </c>
    </row>
    <row r="118" spans="1:12" ht="16" customHeight="1">
      <c r="A118" s="5"/>
      <c r="B118" s="1"/>
      <c r="C118" s="1"/>
      <c r="D118" s="1"/>
      <c r="E118" s="1"/>
      <c r="G118" s="41" t="s">
        <v>124</v>
      </c>
      <c r="H118" s="41" t="s">
        <v>124</v>
      </c>
      <c r="I118" s="41" t="s">
        <v>124</v>
      </c>
      <c r="J118" s="41" t="s">
        <v>124</v>
      </c>
      <c r="K118" s="41" t="s">
        <v>124</v>
      </c>
      <c r="L118" s="41" t="s">
        <v>124</v>
      </c>
    </row>
    <row r="119" spans="1:12" ht="16" customHeight="1">
      <c r="A119" s="5"/>
      <c r="B119" s="1"/>
      <c r="C119" s="1"/>
      <c r="D119" s="1"/>
      <c r="E119" s="1"/>
      <c r="G119" s="41" t="s">
        <v>124</v>
      </c>
      <c r="H119" s="41" t="s">
        <v>124</v>
      </c>
      <c r="I119" s="41" t="s">
        <v>124</v>
      </c>
      <c r="J119" s="41" t="s">
        <v>124</v>
      </c>
      <c r="K119" s="41" t="s">
        <v>124</v>
      </c>
      <c r="L119" s="41" t="s">
        <v>124</v>
      </c>
    </row>
    <row r="120" spans="1:12" ht="16" customHeight="1">
      <c r="A120" s="5"/>
      <c r="B120" s="1"/>
      <c r="C120" s="1"/>
      <c r="D120" s="1"/>
      <c r="E120" s="1"/>
      <c r="G120" s="41" t="s">
        <v>124</v>
      </c>
      <c r="H120" s="41" t="s">
        <v>124</v>
      </c>
      <c r="I120" s="41" t="s">
        <v>124</v>
      </c>
      <c r="J120" s="41" t="s">
        <v>124</v>
      </c>
      <c r="K120" s="41" t="s">
        <v>124</v>
      </c>
      <c r="L120" s="41" t="s">
        <v>124</v>
      </c>
    </row>
    <row r="121" spans="1:12" ht="16" customHeight="1">
      <c r="A121" s="5"/>
      <c r="B121" s="1"/>
      <c r="C121" s="1"/>
      <c r="D121" s="1"/>
      <c r="E121" s="1"/>
      <c r="G121" s="41" t="s">
        <v>124</v>
      </c>
      <c r="H121" s="41" t="s">
        <v>124</v>
      </c>
      <c r="I121" s="41" t="s">
        <v>124</v>
      </c>
      <c r="J121" s="41" t="s">
        <v>124</v>
      </c>
      <c r="K121" s="41" t="s">
        <v>124</v>
      </c>
      <c r="L121" s="41" t="s">
        <v>124</v>
      </c>
    </row>
    <row r="122" spans="1:12" ht="16" customHeight="1">
      <c r="A122" s="5"/>
      <c r="B122" s="1"/>
      <c r="C122" s="1"/>
      <c r="D122" s="1"/>
      <c r="E122" s="1"/>
      <c r="G122" s="41" t="s">
        <v>124</v>
      </c>
      <c r="H122" s="41" t="s">
        <v>124</v>
      </c>
      <c r="I122" s="41" t="s">
        <v>124</v>
      </c>
      <c r="J122" s="41" t="s">
        <v>124</v>
      </c>
      <c r="K122" s="41" t="s">
        <v>124</v>
      </c>
      <c r="L122" s="41" t="s">
        <v>124</v>
      </c>
    </row>
    <row r="123" spans="1:12" ht="16" customHeight="1">
      <c r="A123" s="5"/>
      <c r="B123" s="1"/>
      <c r="C123" s="1"/>
      <c r="D123" s="1"/>
      <c r="E123" s="1"/>
      <c r="G123" s="41" t="s">
        <v>124</v>
      </c>
      <c r="H123" s="41" t="s">
        <v>124</v>
      </c>
      <c r="I123" s="41" t="s">
        <v>124</v>
      </c>
      <c r="J123" s="41" t="s">
        <v>124</v>
      </c>
      <c r="K123" s="41" t="s">
        <v>124</v>
      </c>
      <c r="L123" s="41" t="s">
        <v>124</v>
      </c>
    </row>
    <row r="125" spans="1:12">
      <c r="A125" s="23" t="s">
        <v>125</v>
      </c>
      <c r="B125" s="23" t="s">
        <v>125</v>
      </c>
      <c r="C125" s="23" t="s">
        <v>125</v>
      </c>
      <c r="D125" s="23" t="s">
        <v>125</v>
      </c>
      <c r="E125" s="23" t="s">
        <v>125</v>
      </c>
      <c r="F125" s="23" t="s">
        <v>125</v>
      </c>
      <c r="G125" s="23" t="s">
        <v>125</v>
      </c>
      <c r="H125" s="23" t="s">
        <v>125</v>
      </c>
      <c r="I125" s="23" t="s">
        <v>125</v>
      </c>
      <c r="J125" s="23" t="s">
        <v>125</v>
      </c>
      <c r="K125" s="23" t="s">
        <v>125</v>
      </c>
      <c r="L125" s="23" t="s">
        <v>125</v>
      </c>
    </row>
    <row r="126" spans="1:12">
      <c r="A126" s="23" t="s">
        <v>125</v>
      </c>
      <c r="B126" s="23" t="s">
        <v>125</v>
      </c>
      <c r="C126" s="23" t="s">
        <v>125</v>
      </c>
      <c r="D126" s="23" t="s">
        <v>125</v>
      </c>
      <c r="E126" s="23" t="s">
        <v>125</v>
      </c>
      <c r="F126" s="23" t="s">
        <v>125</v>
      </c>
      <c r="G126" s="23" t="s">
        <v>125</v>
      </c>
      <c r="H126" s="23" t="s">
        <v>125</v>
      </c>
      <c r="I126" s="23" t="s">
        <v>125</v>
      </c>
      <c r="J126" s="23" t="s">
        <v>125</v>
      </c>
      <c r="K126" s="23" t="s">
        <v>125</v>
      </c>
      <c r="L126" s="23" t="s">
        <v>125</v>
      </c>
    </row>
  </sheetData>
  <mergeCells count="104">
    <mergeCell ref="A125:L126"/>
    <mergeCell ref="A4:L4"/>
    <mergeCell ref="A5:C5"/>
    <mergeCell ref="A6:C6"/>
    <mergeCell ref="A7:C7"/>
    <mergeCell ref="A8:C8"/>
    <mergeCell ref="A9:C9"/>
    <mergeCell ref="A10:C10"/>
    <mergeCell ref="D5:F5"/>
    <mergeCell ref="D6:F6"/>
    <mergeCell ref="D7:F7"/>
    <mergeCell ref="D9:F9"/>
    <mergeCell ref="D10:F10"/>
    <mergeCell ref="D8:F8"/>
    <mergeCell ref="G5:I5"/>
    <mergeCell ref="G6:I6"/>
    <mergeCell ref="A98:C99"/>
    <mergeCell ref="D98:L99"/>
    <mergeCell ref="A101:L101"/>
    <mergeCell ref="A116:L116"/>
    <mergeCell ref="G117:L123"/>
    <mergeCell ref="A92:C93"/>
    <mergeCell ref="D92:L93"/>
    <mergeCell ref="A94:C95"/>
    <mergeCell ref="D94:L95"/>
    <mergeCell ref="A96:C97"/>
    <mergeCell ref="D96:L97"/>
    <mergeCell ref="A86:C87"/>
    <mergeCell ref="D86:L87"/>
    <mergeCell ref="A89:L89"/>
    <mergeCell ref="A90:C91"/>
    <mergeCell ref="D90:L91"/>
    <mergeCell ref="A80:C81"/>
    <mergeCell ref="D80:L81"/>
    <mergeCell ref="A82:C83"/>
    <mergeCell ref="D82:L83"/>
    <mergeCell ref="A84:C85"/>
    <mergeCell ref="D84:L85"/>
    <mergeCell ref="A74:C75"/>
    <mergeCell ref="D74:L75"/>
    <mergeCell ref="A77:L77"/>
    <mergeCell ref="A78:C79"/>
    <mergeCell ref="D78:L79"/>
    <mergeCell ref="A68:C69"/>
    <mergeCell ref="D68:L69"/>
    <mergeCell ref="A70:C71"/>
    <mergeCell ref="D70:L71"/>
    <mergeCell ref="A72:C73"/>
    <mergeCell ref="D72:L73"/>
    <mergeCell ref="A42:L42"/>
    <mergeCell ref="J43:L44"/>
    <mergeCell ref="A53:L53"/>
    <mergeCell ref="A65:L65"/>
    <mergeCell ref="A66:C67"/>
    <mergeCell ref="D66:L67"/>
    <mergeCell ref="J45:K45"/>
    <mergeCell ref="J46:K46"/>
    <mergeCell ref="J47:K47"/>
    <mergeCell ref="J48:K48"/>
    <mergeCell ref="A35:C36"/>
    <mergeCell ref="D35:L36"/>
    <mergeCell ref="A37:C38"/>
    <mergeCell ref="D37:L38"/>
    <mergeCell ref="A39:C40"/>
    <mergeCell ref="D39:L40"/>
    <mergeCell ref="A29:C30"/>
    <mergeCell ref="D29:L30"/>
    <mergeCell ref="A31:C32"/>
    <mergeCell ref="D31:L32"/>
    <mergeCell ref="A33:C34"/>
    <mergeCell ref="D33:L34"/>
    <mergeCell ref="A23:C24"/>
    <mergeCell ref="D23:L24"/>
    <mergeCell ref="A26:L26"/>
    <mergeCell ref="A27:C28"/>
    <mergeCell ref="D27:L28"/>
    <mergeCell ref="A17:C18"/>
    <mergeCell ref="D17:L18"/>
    <mergeCell ref="A19:C20"/>
    <mergeCell ref="D19:L20"/>
    <mergeCell ref="A21:C22"/>
    <mergeCell ref="D21:L22"/>
    <mergeCell ref="A12:L12"/>
    <mergeCell ref="A13:C14"/>
    <mergeCell ref="D13:L14"/>
    <mergeCell ref="A15:C16"/>
    <mergeCell ref="D15:L16"/>
    <mergeCell ref="G7:I7"/>
    <mergeCell ref="G8:I8"/>
    <mergeCell ref="G9:I9"/>
    <mergeCell ref="G10:I10"/>
    <mergeCell ref="J5:L5"/>
    <mergeCell ref="J6:L6"/>
    <mergeCell ref="J7:L7"/>
    <mergeCell ref="J8:L8"/>
    <mergeCell ref="J9:L9"/>
    <mergeCell ref="J10:L10"/>
    <mergeCell ref="A1:C3"/>
    <mergeCell ref="D1:I1"/>
    <mergeCell ref="D2:I2"/>
    <mergeCell ref="D3:I3"/>
    <mergeCell ref="J1:L1"/>
    <mergeCell ref="J2:L2"/>
    <mergeCell ref="J3:L3"/>
  </mergeCells>
  <conditionalFormatting sqref="F103:F114">
    <cfRule type="expression" dxfId="2" priority="2">
      <formula>F103="Cerrado"</formula>
    </cfRule>
    <cfRule type="expression" dxfId="1" priority="3">
      <formula>F103="En curso"</formula>
    </cfRule>
    <cfRule type="expression" dxfId="0" priority="4">
      <formula>F103="Suspendido"</formula>
    </cfRule>
  </conditionalFormatting>
  <conditionalFormatting sqref="G103:G114">
    <cfRule type="dataBar" priority="1">
      <dataBar>
        <cfvo type="min"/>
        <cfvo type="max"/>
        <color rgb="FF003494"/>
      </dataBar>
    </cfRule>
    <cfRule type="dataBar" priority="6">
      <dataBar>
        <cfvo type="min"/>
        <cfvo type="max"/>
        <color rgb="FF003494"/>
      </dataBar>
      <extLst>
        <ext xmlns:x14="http://schemas.microsoft.com/office/spreadsheetml/2009/9/main" uri="{B025F937-C7B1-47D3-B67F-A62EFF666E3E}">
          <x14:id>{D11A65F8-871E-ED82-1C28-E3A0CB80B0CF}</x14:id>
        </ext>
      </extLst>
    </cfRule>
  </conditionalFormatting>
  <conditionalFormatting sqref="L45:L48">
    <cfRule type="dataBar" priority="5">
      <dataBar>
        <cfvo type="min"/>
        <cfvo type="max"/>
        <color rgb="FF00249C"/>
      </dataBar>
    </cfRule>
    <cfRule type="dataBar" priority="7">
      <dataBar>
        <cfvo type="min"/>
        <cfvo type="max"/>
        <color rgb="FF00249C"/>
      </dataBar>
      <extLst>
        <ext xmlns:x14="http://schemas.microsoft.com/office/spreadsheetml/2009/9/main" uri="{B025F937-C7B1-47D3-B67F-A62EFF666E3E}">
          <x14:id>{176CF849-08AE-3D6B-E5EB-1D841D11E636}</x14:id>
        </ext>
      </extLst>
    </cfRule>
  </conditionalFormatting>
  <pageMargins left="0.7" right="0.7" top="0.75" bottom="0.75" header="0.3" footer="0.3"/>
  <pageSetup paperSize="9" orientation="portrait" r:id="rId1"/>
  <drawing r:id="rId2"/>
  <tableParts count="4">
    <tablePart r:id="rId3"/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1A65F8-871E-ED82-1C28-E3A0CB80B0CF}">
            <x14:dataBar>
              <x14:cfvo type="min"/>
              <x14:cfvo type="max"/>
              <x14:negativeFillColor auto="1"/>
              <x14:axisColor auto="1"/>
            </x14:dataBar>
          </x14:cfRule>
          <xm:sqref>G103:G114</xm:sqref>
        </x14:conditionalFormatting>
        <x14:conditionalFormatting xmlns:xm="http://schemas.microsoft.com/office/excel/2006/main">
          <x14:cfRule type="dataBar" id="{176CF849-08AE-3D6B-E5EB-1D841D11E636}">
            <x14:dataBar>
              <x14:cfvo type="min"/>
              <x14:cfvo type="max"/>
              <x14:negativeFillColor auto="1"/>
              <x14:axisColor auto="1"/>
            </x14:dataBar>
          </x14:cfRule>
          <xm:sqref>L45:L48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>
        <x14:dataValidation type="list" xr:uid="{00000000-0002-0000-0100-000000000000}">
          <x14:formula1>
            <xm:f>LISTAS_DESPLEGABLES!$C$2:$C$6</xm:f>
          </x14:formula1>
          <xm:sqref>J6</xm:sqref>
        </x14:dataValidation>
        <x14:dataValidation type="list" xr:uid="{00000000-0002-0000-0100-000001000000}">
          <x14:formula1>
            <xm:f>LISTAS_DESPLEGABLES!$A$2:$A$5</xm:f>
          </x14:formula1>
          <xm:sqref>J8</xm:sqref>
        </x14:dataValidation>
        <x14:dataValidation type="list" xr:uid="{00000000-0002-0000-0100-000002000000}">
          <x14:formula1>
            <xm:f>LISTAS_DESPLEGABLES!$B$2:$B$4</xm:f>
          </x14:formula1>
          <xm:sqref>D9</xm:sqref>
        </x14:dataValidation>
        <x14:dataValidation type="list" xr:uid="{00000000-0002-0000-0100-000003000000}">
          <x14:formula1>
            <xm:f>LISTAS_DESPLEGABLES!$D$2:$D$5</xm:f>
          </x14:formula1>
          <xm:sqref>J9</xm:sqref>
        </x14:dataValidation>
        <x14:dataValidation type="list" xr:uid="{00000000-0002-0000-0100-000004000000}">
          <x14:formula1>
            <xm:f>LISTAS_DESPLEGABLES!$E$2:$E$8</xm:f>
          </x14:formula1>
          <xm:sqref>D10</xm:sqref>
        </x14:dataValidation>
        <x14:dataValidation type="list" xr:uid="{00000000-0002-0000-0100-000005000000}">
          <x14:formula1>
            <xm:f>LISTAS_DESPLEGABLES!$G$2:$G$5</xm:f>
          </x14:formula1>
          <xm:sqref>F44:F51</xm:sqref>
        </x14:dataValidation>
        <x14:dataValidation type="list" xr:uid="{00000000-0002-0000-0100-000006000000}">
          <x14:formula1>
            <xm:f>LISTAS_DESPLEGABLES!$I$2:$I$5</xm:f>
          </x14:formula1>
          <xm:sqref>G55:G63</xm:sqref>
        </x14:dataValidation>
        <x14:dataValidation type="list" xr:uid="{00000000-0002-0000-0100-000007000000}">
          <x14:formula1>
            <xm:f>LISTAS_DESPLEGABLES!$F$2:$F$7</xm:f>
          </x14:formula1>
          <xm:sqref>B103:B114</xm:sqref>
        </x14:dataValidation>
        <x14:dataValidation type="list" xr:uid="{00000000-0002-0000-0100-000008000000}">
          <x14:formula1>
            <xm:f>LISTAS_DESPLEGABLES!$H$2:$H$6</xm:f>
          </x14:formula1>
          <xm:sqref>F103:F114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selection activeCell="F9" sqref="F9"/>
    </sheetView>
  </sheetViews>
  <sheetFormatPr baseColWidth="10" defaultColWidth="8.6640625" defaultRowHeight="14"/>
  <cols>
    <col min="1" max="1" width="13.5" bestFit="1" customWidth="1"/>
    <col min="2" max="2" width="8.4140625" bestFit="1" customWidth="1"/>
    <col min="3" max="3" width="21.4140625" bestFit="1" customWidth="1"/>
    <col min="4" max="4" width="14.83203125" bestFit="1" customWidth="1"/>
    <col min="5" max="5" width="11.25" bestFit="1" customWidth="1"/>
    <col min="6" max="6" width="21.9140625" bestFit="1" customWidth="1"/>
    <col min="7" max="7" width="14.33203125" bestFit="1" customWidth="1"/>
    <col min="8" max="8" width="14.9140625" bestFit="1" customWidth="1"/>
    <col min="9" max="9" width="17.4140625" bestFit="1" customWidth="1"/>
  </cols>
  <sheetData>
    <row r="1" spans="1:9">
      <c r="A1" s="2" t="s">
        <v>56</v>
      </c>
      <c r="B1" s="2" t="s">
        <v>36</v>
      </c>
      <c r="C1" s="2" t="s">
        <v>52</v>
      </c>
      <c r="D1" s="2" t="s">
        <v>38</v>
      </c>
      <c r="E1" s="2" t="s">
        <v>57</v>
      </c>
      <c r="F1" s="2" t="s">
        <v>114</v>
      </c>
      <c r="G1" s="2" t="s">
        <v>126</v>
      </c>
      <c r="H1" s="2" t="s">
        <v>127</v>
      </c>
      <c r="I1" s="2" t="s">
        <v>128</v>
      </c>
    </row>
    <row r="2" spans="1:9">
      <c r="A2" s="7" t="s">
        <v>129</v>
      </c>
      <c r="B2" s="7" t="s">
        <v>130</v>
      </c>
      <c r="C2" s="7" t="s">
        <v>131</v>
      </c>
      <c r="D2" s="7" t="s">
        <v>132</v>
      </c>
      <c r="E2" s="7" t="s">
        <v>133</v>
      </c>
      <c r="F2" s="7" t="s">
        <v>134</v>
      </c>
      <c r="G2" s="7" t="s">
        <v>130</v>
      </c>
      <c r="H2" s="7" t="s">
        <v>129</v>
      </c>
      <c r="I2" s="7" t="s">
        <v>129</v>
      </c>
    </row>
    <row r="3" spans="1:9">
      <c r="A3" s="7" t="s">
        <v>135</v>
      </c>
      <c r="B3" s="7" t="s">
        <v>136</v>
      </c>
      <c r="C3" s="7" t="s">
        <v>137</v>
      </c>
      <c r="D3" s="7" t="s">
        <v>138</v>
      </c>
      <c r="E3" s="7" t="s">
        <v>139</v>
      </c>
      <c r="F3" s="7" t="s">
        <v>140</v>
      </c>
      <c r="G3" s="7" t="s">
        <v>136</v>
      </c>
      <c r="H3" s="7" t="s">
        <v>135</v>
      </c>
      <c r="I3" s="7" t="s">
        <v>135</v>
      </c>
    </row>
    <row r="4" spans="1:9">
      <c r="A4" s="7" t="s">
        <v>141</v>
      </c>
      <c r="B4" s="7" t="s">
        <v>142</v>
      </c>
      <c r="C4" s="7" t="s">
        <v>143</v>
      </c>
      <c r="D4" s="7" t="s">
        <v>144</v>
      </c>
      <c r="E4" s="7" t="s">
        <v>145</v>
      </c>
      <c r="F4" s="7" t="s">
        <v>146</v>
      </c>
      <c r="G4" s="7" t="s">
        <v>142</v>
      </c>
      <c r="H4" s="7" t="s">
        <v>141</v>
      </c>
      <c r="I4" s="7" t="s">
        <v>147</v>
      </c>
    </row>
    <row r="5" spans="1:9">
      <c r="A5" s="7" t="s">
        <v>148</v>
      </c>
      <c r="B5" s="7"/>
      <c r="C5" s="7" t="s">
        <v>149</v>
      </c>
      <c r="D5" s="7" t="s">
        <v>150</v>
      </c>
      <c r="E5" s="7" t="s">
        <v>151</v>
      </c>
      <c r="F5" s="7" t="s">
        <v>152</v>
      </c>
      <c r="G5" s="7" t="s">
        <v>153</v>
      </c>
      <c r="H5" s="7" t="s">
        <v>148</v>
      </c>
      <c r="I5" s="7" t="s">
        <v>154</v>
      </c>
    </row>
    <row r="6" spans="1:9">
      <c r="A6" s="7"/>
      <c r="B6" s="7"/>
      <c r="C6" s="7" t="s">
        <v>155</v>
      </c>
      <c r="D6" s="7"/>
      <c r="E6" s="7" t="s">
        <v>156</v>
      </c>
      <c r="F6" s="7" t="s">
        <v>157</v>
      </c>
      <c r="G6" s="7"/>
      <c r="H6" s="7" t="s">
        <v>158</v>
      </c>
      <c r="I6" s="7"/>
    </row>
    <row r="7" spans="1:9">
      <c r="A7" s="7"/>
      <c r="B7" s="7"/>
      <c r="C7" s="7"/>
      <c r="D7" s="7"/>
      <c r="E7" s="7" t="s">
        <v>159</v>
      </c>
      <c r="F7" s="7" t="s">
        <v>160</v>
      </c>
      <c r="G7" s="7"/>
      <c r="H7" s="7"/>
      <c r="I7" s="7"/>
    </row>
    <row r="8" spans="1:9">
      <c r="A8" s="7"/>
      <c r="B8" s="7"/>
      <c r="C8" s="7"/>
      <c r="D8" s="7"/>
      <c r="E8" s="7" t="s">
        <v>161</v>
      </c>
      <c r="F8" s="7"/>
      <c r="G8" s="7"/>
      <c r="H8" s="7"/>
      <c r="I8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46334e-8294-4fb2-ab4a-473e0c1039f3">
      <Terms xmlns="http://schemas.microsoft.com/office/infopath/2007/PartnerControls"/>
    </lcf76f155ced4ddcb4097134ff3c332f>
    <TaxCatchAll xmlns="f48b9041-2153-4606-9336-6b6646faa5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4AB101AE169AB40B2A756BEB726A6B3" ma:contentTypeVersion="11" ma:contentTypeDescription="Crear nuevo documento." ma:contentTypeScope="" ma:versionID="b787aa9135b83b62f2e72efa4c73041b">
  <xsd:schema xmlns:xsd="http://www.w3.org/2001/XMLSchema" xmlns:xs="http://www.w3.org/2001/XMLSchema" xmlns:p="http://schemas.microsoft.com/office/2006/metadata/properties" xmlns:ns2="9946334e-8294-4fb2-ab4a-473e0c1039f3" xmlns:ns3="f48b9041-2153-4606-9336-6b6646faa50d" targetNamespace="http://schemas.microsoft.com/office/2006/metadata/properties" ma:root="true" ma:fieldsID="7cbf44358e2db7b77dec0b057fc92843" ns2:_="" ns3:_="">
    <xsd:import namespace="9946334e-8294-4fb2-ab4a-473e0c1039f3"/>
    <xsd:import namespace="f48b9041-2153-4606-9336-6b6646faa5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46334e-8294-4fb2-ab4a-473e0c1039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ac5fa51-a383-4c6c-9a0d-de86926be3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8b9041-2153-4606-9336-6b6646faa50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8b6cb4e-e364-4e76-ad3b-3bf270399f9a}" ma:internalName="TaxCatchAll" ma:showField="CatchAllData" ma:web="f48b9041-2153-4606-9336-6b6646faa5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8E73BC-D8EC-480B-AB90-A234C0AF85E1}">
  <ds:schemaRefs>
    <ds:schemaRef ds:uri="http://schemas.microsoft.com/office/2006/metadata/properties"/>
    <ds:schemaRef ds:uri="http://schemas.microsoft.com/office/infopath/2007/PartnerControls"/>
    <ds:schemaRef ds:uri="9946334e-8294-4fb2-ab4a-473e0c1039f3"/>
    <ds:schemaRef ds:uri="f48b9041-2153-4606-9336-6b6646faa50d"/>
  </ds:schemaRefs>
</ds:datastoreItem>
</file>

<file path=customXml/itemProps2.xml><?xml version="1.0" encoding="utf-8"?>
<ds:datastoreItem xmlns:ds="http://schemas.openxmlformats.org/officeDocument/2006/customXml" ds:itemID="{778447F3-147C-439D-829B-0C14C26E86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72AF8B-FD60-4418-8EF4-57B0C9F95C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46334e-8294-4fb2-ab4a-473e0c1039f3"/>
    <ds:schemaRef ds:uri="f48b9041-2153-4606-9336-6b6646faa5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INSTRUCTIVO</vt:lpstr>
      <vt:lpstr>FORMATO CRISP-DM</vt:lpstr>
      <vt:lpstr>LISTAS_DESPLEGABLES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 Harvey Clavijo Lopez</cp:lastModifiedBy>
  <dcterms:modified xsi:type="dcterms:W3CDTF">2026-05-27T20:27:26Z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0x01010034AB101AE169AB40B2A756BEB726A6B3</vt:lpwstr>
  </property>
  <property fmtid="{D5CDD505-2E9C-101B-9397-08002B2CF9AE}" pid="3" name="MediaServiceImageTags">
    <vt:lpwstr/>
  </property>
</Properties>
</file>